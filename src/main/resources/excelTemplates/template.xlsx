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obmoaIntelliJFolder\JobmoaProject\src\main\resources\excelTemplates\"/>
    </mc:Choice>
  </mc:AlternateContent>
  <xr:revisionPtr revIDLastSave="0" documentId="13_ncr:1_{7CD2711F-0C41-48F0-A509-DDD467FF8902}" xr6:coauthVersionLast="47" xr6:coauthVersionMax="47" xr10:uidLastSave="{00000000-0000-0000-0000-000000000000}"/>
  <bookViews>
    <workbookView xWindow="28680" yWindow="-120" windowWidth="29040" windowHeight="16440" xr2:uid="{FC798AE5-D761-4D05-904F-F30CEE120C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1" l="1"/>
  <c r="P23" i="1"/>
  <c r="N23" i="1"/>
  <c r="L23" i="1"/>
  <c r="J23" i="1"/>
  <c r="H23" i="1"/>
  <c r="F23" i="1"/>
  <c r="D23" i="1"/>
  <c r="Q53" i="1"/>
  <c r="C53" i="1"/>
  <c r="D53" i="1"/>
  <c r="E53" i="1"/>
  <c r="F53" i="1"/>
  <c r="G53" i="1"/>
  <c r="H53" i="1"/>
  <c r="I53" i="1"/>
  <c r="J53" i="1"/>
  <c r="B53" i="1"/>
  <c r="Q40" i="1"/>
  <c r="G40" i="1"/>
  <c r="H40" i="1"/>
  <c r="I40" i="1"/>
  <c r="J40" i="1"/>
  <c r="C40" i="1"/>
  <c r="D40" i="1"/>
  <c r="E40" i="1"/>
  <c r="F40" i="1"/>
  <c r="B40" i="1"/>
  <c r="Q27" i="1"/>
  <c r="H27" i="1"/>
  <c r="G27" i="1"/>
  <c r="F27" i="1"/>
  <c r="E27" i="1"/>
  <c r="D27" i="1"/>
  <c r="C27" i="1"/>
  <c r="B27" i="1"/>
  <c r="M27" i="1"/>
  <c r="L27" i="1"/>
  <c r="K27" i="1"/>
  <c r="J27" i="1"/>
  <c r="I27" i="1"/>
  <c r="P53" i="1"/>
  <c r="O53" i="1"/>
  <c r="N53" i="1"/>
  <c r="M53" i="1"/>
  <c r="L53" i="1"/>
  <c r="K53" i="1"/>
  <c r="P27" i="1"/>
  <c r="P40" i="1"/>
  <c r="O40" i="1"/>
  <c r="N40" i="1"/>
  <c r="M40" i="1"/>
  <c r="L40" i="1"/>
  <c r="K40" i="1"/>
  <c r="K8" i="1" l="1"/>
  <c r="A3" i="1"/>
  <c r="A9" i="1" l="1"/>
  <c r="L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jobmoa01</author>
  </authors>
  <commentList>
    <comment ref="B51" authorId="0" shapeId="0" xr:uid="{1F045447-B3D4-495E-9EB9-FC631550E58A}">
      <text>
        <r>
          <rPr>
            <b/>
            <sz val="18"/>
            <color indexed="81"/>
            <rFont val="Tahoma"/>
            <family val="2"/>
          </rPr>
          <t>2024</t>
        </r>
        <r>
          <rPr>
            <b/>
            <sz val="18"/>
            <color indexed="81"/>
            <rFont val="돋움"/>
            <family val="3"/>
            <charset val="129"/>
          </rPr>
          <t>년</t>
        </r>
        <r>
          <rPr>
            <b/>
            <sz val="18"/>
            <color indexed="81"/>
            <rFont val="Tahoma"/>
            <family val="2"/>
          </rPr>
          <t xml:space="preserve"> </t>
        </r>
        <r>
          <rPr>
            <b/>
            <sz val="18"/>
            <color indexed="81"/>
            <rFont val="돋움"/>
            <family val="3"/>
            <charset val="129"/>
          </rPr>
          <t>데이터로</t>
        </r>
        <r>
          <rPr>
            <b/>
            <sz val="18"/>
            <color indexed="81"/>
            <rFont val="Tahoma"/>
            <family val="2"/>
          </rPr>
          <t xml:space="preserve"> </t>
        </r>
        <r>
          <rPr>
            <b/>
            <sz val="18"/>
            <color indexed="81"/>
            <rFont val="돋움"/>
            <family val="3"/>
            <charset val="129"/>
          </rPr>
          <t xml:space="preserve">수정
</t>
        </r>
        <r>
          <rPr>
            <b/>
            <sz val="18"/>
            <color indexed="81"/>
            <rFont val="Tahoma"/>
            <family val="2"/>
          </rPr>
          <t>2024</t>
        </r>
        <r>
          <rPr>
            <b/>
            <sz val="18"/>
            <color indexed="81"/>
            <rFont val="돋움"/>
            <family val="3"/>
            <charset val="129"/>
          </rPr>
          <t>년참여자가</t>
        </r>
        <r>
          <rPr>
            <b/>
            <sz val="18"/>
            <color indexed="81"/>
            <rFont val="Tahoma"/>
            <family val="2"/>
          </rPr>
          <t xml:space="preserve"> 2024</t>
        </r>
        <r>
          <rPr>
            <b/>
            <sz val="18"/>
            <color indexed="81"/>
            <rFont val="돋움"/>
            <family val="3"/>
            <charset val="129"/>
          </rPr>
          <t>년</t>
        </r>
        <r>
          <rPr>
            <b/>
            <sz val="18"/>
            <color indexed="81"/>
            <rFont val="Tahoma"/>
            <family val="2"/>
          </rPr>
          <t xml:space="preserve"> </t>
        </r>
        <r>
          <rPr>
            <b/>
            <sz val="18"/>
            <color indexed="81"/>
            <rFont val="돋움"/>
            <family val="3"/>
            <charset val="129"/>
          </rPr>
          <t>실적</t>
        </r>
        <r>
          <rPr>
            <b/>
            <sz val="18"/>
            <color indexed="81"/>
            <rFont val="Tahoma"/>
            <family val="2"/>
          </rPr>
          <t xml:space="preserve"> </t>
        </r>
        <r>
          <rPr>
            <b/>
            <sz val="18"/>
            <color indexed="81"/>
            <rFont val="돋움"/>
            <family val="3"/>
            <charset val="129"/>
          </rPr>
          <t>발생한</t>
        </r>
        <r>
          <rPr>
            <b/>
            <sz val="18"/>
            <color indexed="81"/>
            <rFont val="Tahoma"/>
            <family val="2"/>
          </rPr>
          <t xml:space="preserve"> </t>
        </r>
        <r>
          <rPr>
            <b/>
            <sz val="18"/>
            <color indexed="81"/>
            <rFont val="돋움"/>
            <family val="3"/>
            <charset val="129"/>
          </rPr>
          <t>데이터</t>
        </r>
      </text>
    </comment>
  </commentList>
</comments>
</file>

<file path=xl/sharedStrings.xml><?xml version="1.0" encoding="utf-8"?>
<sst xmlns="http://schemas.openxmlformats.org/spreadsheetml/2006/main" count="89" uniqueCount="60">
  <si>
    <t>결
재</t>
    <phoneticPr fontId="6" type="noConversion"/>
  </si>
  <si>
    <t>지점관리자</t>
    <phoneticPr fontId="8" type="noConversion"/>
  </si>
  <si>
    <t>대표</t>
    <phoneticPr fontId="8" type="noConversion"/>
  </si>
  <si>
    <t>회장</t>
    <phoneticPr fontId="6" type="noConversion"/>
  </si>
  <si>
    <t>1. 배정 현황</t>
    <phoneticPr fontId="6" type="noConversion"/>
  </si>
  <si>
    <t>금일 배정인원</t>
    <phoneticPr fontId="6" type="noConversion"/>
  </si>
  <si>
    <t>상담사
수</t>
    <phoneticPr fontId="6" type="noConversion"/>
  </si>
  <si>
    <t>평균
배정인원</t>
    <phoneticPr fontId="6" type="noConversion"/>
  </si>
  <si>
    <t>배정목표</t>
    <phoneticPr fontId="6" type="noConversion"/>
  </si>
  <si>
    <t>합계</t>
    <phoneticPr fontId="6" type="noConversion"/>
  </si>
  <si>
    <t>Ⅰ유형</t>
    <phoneticPr fontId="6" type="noConversion"/>
  </si>
  <si>
    <t>2. 알선취업 성과 현황</t>
    <phoneticPr fontId="6" type="noConversion"/>
  </si>
  <si>
    <t>구분</t>
    <phoneticPr fontId="6" type="noConversion"/>
  </si>
  <si>
    <t>금일 누적 실적</t>
    <phoneticPr fontId="6" type="noConversion"/>
  </si>
  <si>
    <t>금주 누적 실적</t>
    <phoneticPr fontId="6" type="noConversion"/>
  </si>
  <si>
    <t>금월 누적 실적</t>
    <phoneticPr fontId="6" type="noConversion"/>
  </si>
  <si>
    <t>금년 누적 실적</t>
    <phoneticPr fontId="6" type="noConversion"/>
  </si>
  <si>
    <t>상담사</t>
    <phoneticPr fontId="6" type="noConversion"/>
  </si>
  <si>
    <t>일반 취업</t>
    <phoneticPr fontId="4" type="noConversion"/>
  </si>
  <si>
    <t>알선 취업</t>
    <phoneticPr fontId="4" type="noConversion"/>
  </si>
  <si>
    <t>3. 총괄 진행현황</t>
    <phoneticPr fontId="6" type="noConversion"/>
  </si>
  <si>
    <t>취소</t>
    <phoneticPr fontId="6" type="noConversion"/>
  </si>
  <si>
    <t>참여자
합계</t>
    <phoneticPr fontId="6" type="noConversion"/>
  </si>
  <si>
    <t>현진행자
(유예포함)</t>
    <phoneticPr fontId="6" type="noConversion"/>
  </si>
  <si>
    <t>기간만료</t>
    <phoneticPr fontId="6" type="noConversion"/>
  </si>
  <si>
    <t>중단</t>
    <phoneticPr fontId="6" type="noConversion"/>
  </si>
  <si>
    <t>성과 불인정
취업</t>
    <phoneticPr fontId="6" type="noConversion"/>
  </si>
  <si>
    <t>성과 인정
취업</t>
    <phoneticPr fontId="6" type="noConversion"/>
  </si>
  <si>
    <t>알선취업</t>
    <phoneticPr fontId="6" type="noConversion"/>
  </si>
  <si>
    <t>평가 취업률</t>
    <phoneticPr fontId="6" type="noConversion"/>
  </si>
  <si>
    <t>알선취업률</t>
    <phoneticPr fontId="6" type="noConversion"/>
  </si>
  <si>
    <t>229만원
이상 취업률</t>
    <phoneticPr fontId="6" type="noConversion"/>
  </si>
  <si>
    <t>고용유지율</t>
    <phoneticPr fontId="6" type="noConversion"/>
  </si>
  <si>
    <t>조기취업실적</t>
    <phoneticPr fontId="6" type="noConversion"/>
  </si>
  <si>
    <t>취업인센티브
발생률</t>
    <phoneticPr fontId="6" type="noConversion"/>
  </si>
  <si>
    <t>취업인센티브
미발생자</t>
    <phoneticPr fontId="6" type="noConversion"/>
  </si>
  <si>
    <t>지접합계</t>
    <phoneticPr fontId="6" type="noConversion"/>
  </si>
  <si>
    <t>지점합계</t>
    <phoneticPr fontId="6" type="noConversion"/>
  </si>
  <si>
    <t>평가취업률</t>
    <phoneticPr fontId="6" type="noConversion"/>
  </si>
  <si>
    <t>4. 기타사항</t>
    <phoneticPr fontId="6" type="noConversion"/>
  </si>
  <si>
    <t>지점 국민취업지원제도 업무진행현황 일일보고</t>
    <phoneticPr fontId="4" type="noConversion"/>
  </si>
  <si>
    <t>년 민간위탁기관 평가 실적</t>
    <phoneticPr fontId="4" type="noConversion"/>
  </si>
  <si>
    <t>년 참여자 진행현황 (국민취업지원제도)</t>
    <phoneticPr fontId="4" type="noConversion"/>
  </si>
  <si>
    <t>년 참여자 진행현황 (국민취업제도)</t>
    <phoneticPr fontId="4" type="noConversion"/>
  </si>
  <si>
    <t>년 총 서비스 대상 인원(전산 배정 인원)</t>
    <phoneticPr fontId="6" type="noConversion"/>
  </si>
  <si>
    <t>종료참여자</t>
    <phoneticPr fontId="6" type="noConversion"/>
  </si>
  <si>
    <t>취업자</t>
    <phoneticPr fontId="6" type="noConversion"/>
  </si>
  <si>
    <t>고용유지</t>
    <phoneticPr fontId="4" type="noConversion"/>
  </si>
  <si>
    <t>성과 인정
취업</t>
    <phoneticPr fontId="4" type="noConversion"/>
  </si>
  <si>
    <t>성과 불인정
취업</t>
    <phoneticPr fontId="4" type="noConversion"/>
  </si>
  <si>
    <t>알선취업률</t>
    <phoneticPr fontId="4" type="noConversion"/>
  </si>
  <si>
    <t>고용유지율</t>
    <phoneticPr fontId="4" type="noConversion"/>
  </si>
  <si>
    <t>지점실적</t>
    <phoneticPr fontId="6" type="noConversion"/>
  </si>
  <si>
    <t>취업률</t>
    <phoneticPr fontId="6" type="noConversion"/>
  </si>
  <si>
    <t>평가 취업률</t>
    <phoneticPr fontId="4" type="noConversion"/>
  </si>
  <si>
    <t>Ⅱ유형</t>
    <phoneticPr fontId="4" type="noConversion"/>
  </si>
  <si>
    <t>251만원 
이상 취업자</t>
    <phoneticPr fontId="4" type="noConversion"/>
  </si>
  <si>
    <t>취업인원</t>
    <phoneticPr fontId="6" type="noConversion"/>
  </si>
  <si>
    <t>251만원
이상 취업률</t>
    <phoneticPr fontId="6" type="noConversion"/>
  </si>
  <si>
    <t>251만원
이상 취업률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</si>
</sst>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[$-F800]dddd\,\ mmmm\ dd\,\ yyyy"/>
    <numFmt numFmtId="177" formatCode="0;\-0;;@"/>
    <numFmt numFmtId="178" formatCode="0_);[Red]\(0\)"/>
    <numFmt numFmtId="179" formatCode="0.00%;0;\-\%;@"/>
  </numFmts>
  <fonts count="23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b/>
      <sz val="36"/>
      <color rgb="FF000000"/>
      <name val="한컴바탕"/>
      <family val="1"/>
      <charset val="129"/>
    </font>
    <font>
      <sz val="8"/>
      <name val="맑은 고딕"/>
      <family val="2"/>
      <charset val="129"/>
      <scheme val="minor"/>
    </font>
    <font>
      <b/>
      <sz val="20"/>
      <color rgb="FF000000"/>
      <name val="굴림체"/>
      <family val="3"/>
      <charset val="129"/>
    </font>
    <font>
      <sz val="8"/>
      <name val="돋움"/>
      <family val="3"/>
      <charset val="129"/>
    </font>
    <font>
      <b/>
      <sz val="14"/>
      <color rgb="FF000000"/>
      <name val="굴림체"/>
      <family val="3"/>
      <charset val="129"/>
    </font>
    <font>
      <sz val="8"/>
      <name val="맑은 고딕"/>
      <family val="3"/>
      <charset val="129"/>
    </font>
    <font>
      <b/>
      <sz val="18"/>
      <color rgb="FF000000"/>
      <name val="굴림체"/>
      <family val="3"/>
      <charset val="129"/>
    </font>
    <font>
      <sz val="20"/>
      <color rgb="FF000000"/>
      <name val="굴림체"/>
      <family val="3"/>
      <charset val="129"/>
    </font>
    <font>
      <b/>
      <sz val="20"/>
      <color rgb="FF000000"/>
      <name val="맑은 고딕"/>
      <family val="3"/>
      <charset val="129"/>
      <scheme val="minor"/>
    </font>
    <font>
      <b/>
      <sz val="20"/>
      <color rgb="FF000000"/>
      <name val="맑은 고딕"/>
      <family val="3"/>
      <charset val="129"/>
    </font>
    <font>
      <sz val="28"/>
      <color rgb="FFFF0000"/>
      <name val="맑은 고딕"/>
      <family val="3"/>
      <charset val="129"/>
    </font>
    <font>
      <b/>
      <sz val="16"/>
      <color rgb="FF000000"/>
      <name val="굴림체"/>
      <family val="3"/>
      <charset val="129"/>
    </font>
    <font>
      <b/>
      <sz val="20"/>
      <name val="맑은 고딕"/>
      <family val="3"/>
      <charset val="129"/>
    </font>
    <font>
      <b/>
      <sz val="16"/>
      <color rgb="FF000000"/>
      <name val="맑은 고딕"/>
      <family val="3"/>
      <charset val="129"/>
      <scheme val="minor"/>
    </font>
    <font>
      <b/>
      <sz val="22"/>
      <color rgb="FF000000"/>
      <name val="맑은 고딕"/>
      <family val="3"/>
      <charset val="129"/>
      <scheme val="minor"/>
    </font>
    <font>
      <b/>
      <sz val="16"/>
      <color rgb="FF000000"/>
      <name val="맑은 고딕"/>
      <family val="3"/>
      <charset val="129"/>
    </font>
    <font>
      <b/>
      <sz val="14"/>
      <color rgb="FF000000"/>
      <name val="맑은 고딕"/>
      <family val="3"/>
      <charset val="129"/>
      <scheme val="minor"/>
    </font>
    <font>
      <sz val="20"/>
      <color rgb="FF000000"/>
      <name val="맑은 고딕"/>
      <family val="3"/>
      <charset val="129"/>
      <scheme val="minor"/>
    </font>
    <font>
      <b/>
      <sz val="18"/>
      <color indexed="81"/>
      <name val="Tahoma"/>
      <family val="2"/>
    </font>
    <font>
      <b/>
      <sz val="18"/>
      <color indexed="81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6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 diagonalUp="1" diagonalDown="1">
      <left style="thin">
        <color indexed="64"/>
      </left>
      <right/>
      <top style="thin">
        <color indexed="64"/>
      </top>
      <bottom/>
      <diagonal style="thin">
        <color indexed="64"/>
      </diagonal>
    </border>
    <border diagonalUp="1" diagonalDown="1">
      <left/>
      <right style="thin">
        <color indexed="64"/>
      </right>
      <top style="thin">
        <color indexed="64"/>
      </top>
      <bottom/>
      <diagonal style="thin">
        <color indexed="64"/>
      </diagonal>
    </border>
    <border diagonalUp="1" diagonalDown="1">
      <left style="thin">
        <color indexed="64"/>
      </left>
      <right/>
      <top/>
      <bottom/>
      <diagonal style="thin">
        <color indexed="64"/>
      </diagonal>
    </border>
    <border diagonalUp="1" diagonalDown="1">
      <left/>
      <right style="thin">
        <color indexed="64"/>
      </right>
      <top/>
      <bottom/>
      <diagonal style="thin">
        <color indexed="64"/>
      </diagonal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Up="1" diagonalDown="1">
      <left style="thin">
        <color indexed="64"/>
      </left>
      <right/>
      <top/>
      <bottom style="medium">
        <color indexed="64"/>
      </bottom>
      <diagonal style="thin">
        <color indexed="64"/>
      </diagonal>
    </border>
    <border diagonalUp="1" diagonalDown="1">
      <left/>
      <right style="thin">
        <color indexed="64"/>
      </right>
      <top/>
      <bottom style="medium">
        <color indexed="64"/>
      </bottom>
      <diagonal style="thin">
        <color indexed="64"/>
      </diagonal>
    </border>
  </borders>
  <cellStyleXfs count="3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>
      <alignment vertical="center"/>
    </xf>
  </cellStyleXfs>
  <cellXfs count="161">
    <xf numFmtId="0" fontId="0" fillId="0" borderId="0" xfId="0">
      <alignment vertical="center"/>
    </xf>
    <xf numFmtId="0" fontId="7" fillId="2" borderId="4" xfId="2" applyFont="1" applyFill="1" applyBorder="1" applyAlignment="1">
      <alignment horizontal="center" vertical="center"/>
    </xf>
    <xf numFmtId="0" fontId="9" fillId="2" borderId="4" xfId="2" applyFont="1" applyFill="1" applyBorder="1" applyAlignment="1">
      <alignment horizontal="center" vertical="center"/>
    </xf>
    <xf numFmtId="0" fontId="10" fillId="2" borderId="3" xfId="2" applyFont="1" applyFill="1" applyBorder="1" applyAlignment="1">
      <alignment horizontal="center" vertical="center"/>
    </xf>
    <xf numFmtId="0" fontId="10" fillId="2" borderId="6" xfId="2" applyFont="1" applyFill="1" applyBorder="1" applyAlignment="1">
      <alignment horizontal="center" vertical="center"/>
    </xf>
    <xf numFmtId="0" fontId="14" fillId="2" borderId="35" xfId="2" applyFont="1" applyFill="1" applyBorder="1" applyAlignment="1">
      <alignment horizontal="center" vertical="center" wrapText="1"/>
    </xf>
    <xf numFmtId="0" fontId="14" fillId="2" borderId="39" xfId="2" applyFont="1" applyFill="1" applyBorder="1" applyAlignment="1">
      <alignment horizontal="center" vertical="center" wrapText="1"/>
    </xf>
    <xf numFmtId="0" fontId="16" fillId="2" borderId="39" xfId="2" applyFont="1" applyFill="1" applyBorder="1" applyAlignment="1">
      <alignment horizontal="center" vertical="center" wrapText="1"/>
    </xf>
    <xf numFmtId="0" fontId="14" fillId="2" borderId="41" xfId="2" applyFont="1" applyFill="1" applyBorder="1" applyAlignment="1">
      <alignment horizontal="center" vertical="center" wrapText="1"/>
    </xf>
    <xf numFmtId="177" fontId="19" fillId="2" borderId="40" xfId="2" applyNumberFormat="1" applyFont="1" applyFill="1" applyBorder="1" applyAlignment="1">
      <alignment horizontal="center" vertical="center" wrapText="1"/>
    </xf>
    <xf numFmtId="0" fontId="19" fillId="2" borderId="40" xfId="2" applyFont="1" applyFill="1" applyBorder="1" applyAlignment="1">
      <alignment horizontal="center" vertical="center" wrapText="1"/>
    </xf>
    <xf numFmtId="177" fontId="11" fillId="2" borderId="40" xfId="2" applyNumberFormat="1" applyFont="1" applyFill="1" applyBorder="1" applyAlignment="1">
      <alignment horizontal="center" vertical="center" wrapText="1"/>
    </xf>
    <xf numFmtId="179" fontId="11" fillId="2" borderId="40" xfId="2" applyNumberFormat="1" applyFont="1" applyFill="1" applyBorder="1" applyAlignment="1">
      <alignment horizontal="center" vertical="center" wrapText="1"/>
    </xf>
    <xf numFmtId="177" fontId="20" fillId="2" borderId="40" xfId="2" applyNumberFormat="1" applyFont="1" applyFill="1" applyBorder="1" applyAlignment="1">
      <alignment horizontal="center" vertical="center" wrapText="1"/>
    </xf>
    <xf numFmtId="179" fontId="20" fillId="2" borderId="40" xfId="2" applyNumberFormat="1" applyFont="1" applyFill="1" applyBorder="1" applyAlignment="1">
      <alignment horizontal="center" vertical="center" wrapText="1"/>
    </xf>
    <xf numFmtId="177" fontId="19" fillId="2" borderId="22" xfId="2" applyNumberFormat="1" applyFont="1" applyFill="1" applyBorder="1" applyAlignment="1">
      <alignment horizontal="center" vertical="center" wrapText="1"/>
    </xf>
    <xf numFmtId="0" fontId="19" fillId="2" borderId="22" xfId="2" applyFont="1" applyFill="1" applyBorder="1" applyAlignment="1">
      <alignment horizontal="center" vertical="center" wrapText="1"/>
    </xf>
    <xf numFmtId="177" fontId="20" fillId="0" borderId="45" xfId="2" applyNumberFormat="1" applyFont="1" applyBorder="1" applyAlignment="1">
      <alignment horizontal="center" vertical="center" wrapText="1"/>
    </xf>
    <xf numFmtId="0" fontId="2" fillId="0" borderId="0" xfId="2">
      <alignment vertical="center"/>
    </xf>
    <xf numFmtId="177" fontId="2" fillId="0" borderId="0" xfId="2" applyNumberFormat="1">
      <alignment vertical="center"/>
    </xf>
    <xf numFmtId="22" fontId="0" fillId="0" borderId="0" xfId="0" applyNumberFormat="1">
      <alignment vertical="center"/>
    </xf>
    <xf numFmtId="0" fontId="19" fillId="2" borderId="49" xfId="2" applyFont="1" applyFill="1" applyBorder="1" applyAlignment="1">
      <alignment horizontal="center" vertical="center" wrapText="1"/>
    </xf>
    <xf numFmtId="177" fontId="20" fillId="2" borderId="49" xfId="1" applyNumberFormat="1" applyFont="1" applyFill="1" applyBorder="1" applyAlignment="1">
      <alignment horizontal="center" vertical="center" wrapText="1"/>
    </xf>
    <xf numFmtId="0" fontId="16" fillId="0" borderId="40" xfId="2" applyFont="1" applyBorder="1" applyAlignment="1">
      <alignment horizontal="center" vertical="center" wrapText="1"/>
    </xf>
    <xf numFmtId="0" fontId="19" fillId="0" borderId="40" xfId="2" applyFont="1" applyBorder="1" applyAlignment="1">
      <alignment horizontal="center" vertical="center" wrapText="1"/>
    </xf>
    <xf numFmtId="0" fontId="19" fillId="0" borderId="45" xfId="2" applyFont="1" applyBorder="1" applyAlignment="1">
      <alignment horizontal="center" vertical="center" wrapText="1"/>
    </xf>
    <xf numFmtId="179" fontId="20" fillId="2" borderId="26" xfId="2" applyNumberFormat="1" applyFont="1" applyFill="1" applyBorder="1" applyAlignment="1">
      <alignment horizontal="center" vertical="center" wrapText="1"/>
    </xf>
    <xf numFmtId="177" fontId="20" fillId="0" borderId="50" xfId="2" applyNumberFormat="1" applyFont="1" applyBorder="1" applyAlignment="1">
      <alignment horizontal="center" vertical="center" wrapText="1"/>
    </xf>
    <xf numFmtId="179" fontId="11" fillId="2" borderId="26" xfId="2" applyNumberFormat="1" applyFont="1" applyFill="1" applyBorder="1" applyAlignment="1">
      <alignment horizontal="center" vertical="center" wrapText="1"/>
    </xf>
    <xf numFmtId="177" fontId="11" fillId="2" borderId="49" xfId="2" applyNumberFormat="1" applyFont="1" applyFill="1" applyBorder="1" applyAlignment="1">
      <alignment horizontal="center" vertical="center" wrapText="1"/>
    </xf>
    <xf numFmtId="177" fontId="16" fillId="2" borderId="39" xfId="2" applyNumberFormat="1" applyFont="1" applyFill="1" applyBorder="1" applyAlignment="1">
      <alignment horizontal="center" vertical="center" wrapText="1"/>
    </xf>
    <xf numFmtId="0" fontId="19" fillId="2" borderId="26" xfId="2" applyFont="1" applyFill="1" applyBorder="1" applyAlignment="1">
      <alignment horizontal="center" vertical="center" wrapText="1"/>
    </xf>
    <xf numFmtId="0" fontId="19" fillId="2" borderId="25" xfId="2" applyFont="1" applyFill="1" applyBorder="1" applyAlignment="1">
      <alignment horizontal="center" vertical="center" wrapText="1"/>
    </xf>
    <xf numFmtId="179" fontId="11" fillId="2" borderId="25" xfId="2" applyNumberFormat="1" applyFont="1" applyFill="1" applyBorder="1" applyAlignment="1">
      <alignment horizontal="center" vertical="center" wrapText="1"/>
    </xf>
    <xf numFmtId="179" fontId="20" fillId="2" borderId="25" xfId="2" applyNumberFormat="1" applyFont="1" applyFill="1" applyBorder="1" applyAlignment="1">
      <alignment horizontal="center" vertical="center" wrapText="1"/>
    </xf>
    <xf numFmtId="179" fontId="20" fillId="2" borderId="30" xfId="2" applyNumberFormat="1" applyFont="1" applyFill="1" applyBorder="1" applyAlignment="1">
      <alignment horizontal="center" vertical="center" wrapText="1"/>
    </xf>
    <xf numFmtId="0" fontId="13" fillId="2" borderId="0" xfId="2" applyFont="1" applyFill="1" applyAlignment="1">
      <alignment vertical="top" wrapText="1"/>
    </xf>
    <xf numFmtId="0" fontId="13" fillId="2" borderId="2" xfId="2" applyFont="1" applyFill="1" applyBorder="1" applyAlignment="1">
      <alignment vertical="top" wrapText="1"/>
    </xf>
    <xf numFmtId="0" fontId="2" fillId="0" borderId="2" xfId="2" applyBorder="1">
      <alignment vertical="center"/>
    </xf>
    <xf numFmtId="0" fontId="19" fillId="2" borderId="21" xfId="2" applyFont="1" applyFill="1" applyBorder="1" applyAlignment="1">
      <alignment horizontal="center" vertical="center" wrapText="1"/>
    </xf>
    <xf numFmtId="179" fontId="20" fillId="2" borderId="60" xfId="2" applyNumberFormat="1" applyFont="1" applyFill="1" applyBorder="1" applyAlignment="1">
      <alignment horizontal="center" vertical="center" wrapText="1"/>
    </xf>
    <xf numFmtId="177" fontId="20" fillId="2" borderId="58" xfId="1" applyNumberFormat="1" applyFont="1" applyFill="1" applyBorder="1" applyAlignment="1">
      <alignment horizontal="center" vertical="center" wrapText="1"/>
    </xf>
    <xf numFmtId="0" fontId="19" fillId="0" borderId="26" xfId="2" applyFont="1" applyBorder="1" applyAlignment="1">
      <alignment horizontal="center" vertical="center" wrapText="1"/>
    </xf>
    <xf numFmtId="179" fontId="20" fillId="0" borderId="40" xfId="2" applyNumberFormat="1" applyFont="1" applyBorder="1" applyAlignment="1">
      <alignment horizontal="center" vertical="center" wrapText="1"/>
    </xf>
    <xf numFmtId="179" fontId="20" fillId="0" borderId="60" xfId="2" applyNumberFormat="1" applyFont="1" applyBorder="1" applyAlignment="1">
      <alignment horizontal="center" vertical="center" wrapText="1"/>
    </xf>
    <xf numFmtId="0" fontId="16" fillId="2" borderId="41" xfId="2" applyFont="1" applyFill="1" applyBorder="1" applyAlignment="1">
      <alignment horizontal="center" vertical="center" wrapText="1"/>
    </xf>
    <xf numFmtId="177" fontId="20" fillId="2" borderId="60" xfId="2" applyNumberFormat="1" applyFont="1" applyFill="1" applyBorder="1" applyAlignment="1">
      <alignment horizontal="center" vertical="center" wrapText="1"/>
    </xf>
    <xf numFmtId="179" fontId="20" fillId="2" borderId="31" xfId="2" applyNumberFormat="1" applyFont="1" applyFill="1" applyBorder="1" applyAlignment="1">
      <alignment horizontal="center" vertical="center" wrapText="1"/>
    </xf>
    <xf numFmtId="177" fontId="16" fillId="3" borderId="26" xfId="2" applyNumberFormat="1" applyFont="1" applyFill="1" applyBorder="1" applyAlignment="1">
      <alignment horizontal="center" vertical="center"/>
    </xf>
    <xf numFmtId="177" fontId="16" fillId="3" borderId="25" xfId="2" applyNumberFormat="1" applyFont="1" applyFill="1" applyBorder="1" applyAlignment="1">
      <alignment horizontal="center" vertical="center"/>
    </xf>
    <xf numFmtId="177" fontId="16" fillId="3" borderId="49" xfId="2" applyNumberFormat="1" applyFont="1" applyFill="1" applyBorder="1" applyAlignment="1">
      <alignment horizontal="center" vertical="center"/>
    </xf>
    <xf numFmtId="0" fontId="16" fillId="2" borderId="35" xfId="2" applyFont="1" applyFill="1" applyBorder="1" applyAlignment="1">
      <alignment horizontal="center" vertical="center" wrapText="1"/>
    </xf>
    <xf numFmtId="0" fontId="16" fillId="2" borderId="39" xfId="2" applyFont="1" applyFill="1" applyBorder="1" applyAlignment="1">
      <alignment horizontal="center" vertical="center" wrapText="1"/>
    </xf>
    <xf numFmtId="176" fontId="12" fillId="2" borderId="46" xfId="2" applyNumberFormat="1" applyFont="1" applyFill="1" applyBorder="1" applyAlignment="1">
      <alignment horizontal="left" vertical="center" wrapText="1"/>
    </xf>
    <xf numFmtId="176" fontId="12" fillId="2" borderId="7" xfId="2" applyNumberFormat="1" applyFont="1" applyFill="1" applyBorder="1" applyAlignment="1">
      <alignment horizontal="left" vertical="center" wrapText="1"/>
    </xf>
    <xf numFmtId="176" fontId="12" fillId="2" borderId="0" xfId="2" applyNumberFormat="1" applyFont="1" applyFill="1" applyAlignment="1">
      <alignment horizontal="left" vertical="center" wrapText="1"/>
    </xf>
    <xf numFmtId="176" fontId="12" fillId="3" borderId="8" xfId="2" applyNumberFormat="1" applyFont="1" applyFill="1" applyBorder="1" applyAlignment="1">
      <alignment horizontal="center" vertical="center" wrapText="1"/>
    </xf>
    <xf numFmtId="176" fontId="12" fillId="3" borderId="10" xfId="2" applyNumberFormat="1" applyFont="1" applyFill="1" applyBorder="1" applyAlignment="1">
      <alignment horizontal="center" vertical="center" wrapText="1"/>
    </xf>
    <xf numFmtId="176" fontId="12" fillId="3" borderId="46" xfId="2" applyNumberFormat="1" applyFont="1" applyFill="1" applyBorder="1" applyAlignment="1">
      <alignment horizontal="center" vertical="center" wrapText="1"/>
    </xf>
    <xf numFmtId="176" fontId="12" fillId="3" borderId="47" xfId="2" applyNumberFormat="1" applyFont="1" applyFill="1" applyBorder="1" applyAlignment="1">
      <alignment horizontal="center" vertical="center" wrapText="1"/>
    </xf>
    <xf numFmtId="176" fontId="12" fillId="0" borderId="11" xfId="2" applyNumberFormat="1" applyFont="1" applyBorder="1" applyAlignment="1">
      <alignment horizontal="center" vertical="center" wrapText="1"/>
    </xf>
    <xf numFmtId="176" fontId="12" fillId="0" borderId="9" xfId="2" applyNumberFormat="1" applyFont="1" applyBorder="1" applyAlignment="1">
      <alignment horizontal="center" vertical="center" wrapText="1"/>
    </xf>
    <xf numFmtId="176" fontId="12" fillId="0" borderId="55" xfId="2" applyNumberFormat="1" applyFont="1" applyBorder="1" applyAlignment="1">
      <alignment horizontal="center" vertical="center" wrapText="1"/>
    </xf>
    <xf numFmtId="176" fontId="12" fillId="0" borderId="48" xfId="2" applyNumberFormat="1" applyFont="1" applyBorder="1" applyAlignment="1">
      <alignment horizontal="center" vertical="center" wrapText="1"/>
    </xf>
    <xf numFmtId="176" fontId="12" fillId="0" borderId="7" xfId="2" applyNumberFormat="1" applyFont="1" applyBorder="1" applyAlignment="1">
      <alignment horizontal="center" vertical="center" wrapText="1"/>
    </xf>
    <xf numFmtId="176" fontId="12" fillId="0" borderId="59" xfId="2" applyNumberFormat="1" applyFont="1" applyBorder="1" applyAlignment="1">
      <alignment horizontal="center" vertical="center" wrapText="1"/>
    </xf>
    <xf numFmtId="177" fontId="17" fillId="0" borderId="31" xfId="2" applyNumberFormat="1" applyFont="1" applyBorder="1" applyAlignment="1">
      <alignment horizontal="center" vertical="center"/>
    </xf>
    <xf numFmtId="177" fontId="17" fillId="0" borderId="30" xfId="2" applyNumberFormat="1" applyFont="1" applyBorder="1" applyAlignment="1">
      <alignment horizontal="center" vertical="center"/>
    </xf>
    <xf numFmtId="176" fontId="12" fillId="2" borderId="56" xfId="2" applyNumberFormat="1" applyFont="1" applyFill="1" applyBorder="1" applyAlignment="1">
      <alignment horizontal="left" vertical="center" wrapText="1"/>
    </xf>
    <xf numFmtId="176" fontId="12" fillId="2" borderId="34" xfId="2" applyNumberFormat="1" applyFont="1" applyFill="1" applyBorder="1" applyAlignment="1">
      <alignment horizontal="left" vertical="center" wrapText="1"/>
    </xf>
    <xf numFmtId="176" fontId="12" fillId="2" borderId="57" xfId="2" applyNumberFormat="1" applyFont="1" applyFill="1" applyBorder="1" applyAlignment="1">
      <alignment horizontal="left" vertical="center" wrapText="1"/>
    </xf>
    <xf numFmtId="0" fontId="16" fillId="2" borderId="42" xfId="2" applyFont="1" applyFill="1" applyBorder="1" applyAlignment="1">
      <alignment horizontal="center" vertical="center" wrapText="1"/>
    </xf>
    <xf numFmtId="0" fontId="16" fillId="2" borderId="44" xfId="2" applyFont="1" applyFill="1" applyBorder="1" applyAlignment="1">
      <alignment horizontal="center" vertical="center" wrapText="1"/>
    </xf>
    <xf numFmtId="0" fontId="18" fillId="2" borderId="36" xfId="2" applyFont="1" applyFill="1" applyBorder="1" applyAlignment="1">
      <alignment horizontal="center" vertical="center" wrapText="1"/>
    </xf>
    <xf numFmtId="0" fontId="16" fillId="2" borderId="37" xfId="2" applyFont="1" applyFill="1" applyBorder="1" applyAlignment="1">
      <alignment horizontal="center" vertical="center" wrapText="1"/>
    </xf>
    <xf numFmtId="0" fontId="16" fillId="2" borderId="9" xfId="2" applyFont="1" applyFill="1" applyBorder="1" applyAlignment="1">
      <alignment horizontal="center" vertical="center" wrapText="1"/>
    </xf>
    <xf numFmtId="0" fontId="16" fillId="2" borderId="43" xfId="2" applyFont="1" applyFill="1" applyBorder="1" applyAlignment="1">
      <alignment horizontal="center" vertical="center" wrapText="1"/>
    </xf>
    <xf numFmtId="0" fontId="16" fillId="2" borderId="36" xfId="2" applyFont="1" applyFill="1" applyBorder="1" applyAlignment="1">
      <alignment horizontal="center" vertical="center" wrapText="1"/>
    </xf>
    <xf numFmtId="177" fontId="16" fillId="2" borderId="36" xfId="2" applyNumberFormat="1" applyFont="1" applyFill="1" applyBorder="1" applyAlignment="1">
      <alignment horizontal="center" vertical="center" wrapText="1"/>
    </xf>
    <xf numFmtId="177" fontId="16" fillId="2" borderId="37" xfId="2" applyNumberFormat="1" applyFont="1" applyFill="1" applyBorder="1" applyAlignment="1">
      <alignment horizontal="center" vertical="center" wrapText="1"/>
    </xf>
    <xf numFmtId="177" fontId="16" fillId="2" borderId="43" xfId="2" applyNumberFormat="1" applyFont="1" applyFill="1" applyBorder="1" applyAlignment="1">
      <alignment horizontal="center" vertical="center" wrapText="1"/>
    </xf>
    <xf numFmtId="0" fontId="19" fillId="2" borderId="51" xfId="2" applyFont="1" applyFill="1" applyBorder="1" applyAlignment="1">
      <alignment horizontal="center" vertical="center" wrapText="1"/>
    </xf>
    <xf numFmtId="0" fontId="19" fillId="2" borderId="52" xfId="2" applyFont="1" applyFill="1" applyBorder="1" applyAlignment="1">
      <alignment horizontal="center" vertical="center" wrapText="1"/>
    </xf>
    <xf numFmtId="0" fontId="19" fillId="2" borderId="53" xfId="2" applyFont="1" applyFill="1" applyBorder="1" applyAlignment="1">
      <alignment horizontal="center" vertical="center" wrapText="1"/>
    </xf>
    <xf numFmtId="0" fontId="19" fillId="2" borderId="54" xfId="2" applyFont="1" applyFill="1" applyBorder="1" applyAlignment="1">
      <alignment horizontal="center" vertical="center" wrapText="1"/>
    </xf>
    <xf numFmtId="0" fontId="19" fillId="2" borderId="61" xfId="2" applyFont="1" applyFill="1" applyBorder="1" applyAlignment="1">
      <alignment horizontal="center" vertical="center" wrapText="1"/>
    </xf>
    <xf numFmtId="0" fontId="19" fillId="2" borderId="62" xfId="2" applyFont="1" applyFill="1" applyBorder="1" applyAlignment="1">
      <alignment horizontal="center" vertical="center" wrapText="1"/>
    </xf>
    <xf numFmtId="177" fontId="16" fillId="3" borderId="40" xfId="2" applyNumberFormat="1" applyFont="1" applyFill="1" applyBorder="1" applyAlignment="1">
      <alignment horizontal="center" vertical="center"/>
    </xf>
    <xf numFmtId="176" fontId="12" fillId="2" borderId="56" xfId="0" applyNumberFormat="1" applyFont="1" applyFill="1" applyBorder="1" applyAlignment="1">
      <alignment horizontal="left" vertical="center" wrapText="1"/>
    </xf>
    <xf numFmtId="176" fontId="12" fillId="2" borderId="34" xfId="0" applyNumberFormat="1" applyFont="1" applyFill="1" applyBorder="1" applyAlignment="1">
      <alignment horizontal="left" vertical="center" wrapText="1"/>
    </xf>
    <xf numFmtId="176" fontId="12" fillId="2" borderId="57" xfId="0" applyNumberFormat="1" applyFont="1" applyFill="1" applyBorder="1" applyAlignment="1">
      <alignment horizontal="left" vertical="center" wrapText="1"/>
    </xf>
    <xf numFmtId="0" fontId="16" fillId="3" borderId="26" xfId="2" applyFont="1" applyFill="1" applyBorder="1" applyAlignment="1">
      <alignment horizontal="center" vertical="center"/>
    </xf>
    <xf numFmtId="0" fontId="16" fillId="3" borderId="25" xfId="2" applyFont="1" applyFill="1" applyBorder="1" applyAlignment="1">
      <alignment horizontal="center" vertical="center"/>
    </xf>
    <xf numFmtId="0" fontId="16" fillId="3" borderId="49" xfId="2" applyFont="1" applyFill="1" applyBorder="1" applyAlignment="1">
      <alignment horizontal="center" vertical="center"/>
    </xf>
    <xf numFmtId="177" fontId="9" fillId="2" borderId="36" xfId="2" applyNumberFormat="1" applyFont="1" applyFill="1" applyBorder="1" applyAlignment="1">
      <alignment horizontal="center" vertical="center" wrapText="1"/>
    </xf>
    <xf numFmtId="177" fontId="9" fillId="2" borderId="37" xfId="2" applyNumberFormat="1" applyFont="1" applyFill="1" applyBorder="1" applyAlignment="1">
      <alignment horizontal="center" vertical="center" wrapText="1"/>
    </xf>
    <xf numFmtId="177" fontId="9" fillId="2" borderId="38" xfId="2" applyNumberFormat="1" applyFont="1" applyFill="1" applyBorder="1" applyAlignment="1">
      <alignment horizontal="center" vertical="center" wrapText="1"/>
    </xf>
    <xf numFmtId="0" fontId="9" fillId="2" borderId="36" xfId="2" applyFont="1" applyFill="1" applyBorder="1" applyAlignment="1">
      <alignment horizontal="center" vertical="center" wrapText="1"/>
    </xf>
    <xf numFmtId="0" fontId="9" fillId="2" borderId="37" xfId="2" applyFont="1" applyFill="1" applyBorder="1" applyAlignment="1">
      <alignment horizontal="center" vertical="center" wrapText="1"/>
    </xf>
    <xf numFmtId="0" fontId="9" fillId="2" borderId="38" xfId="2" applyFont="1" applyFill="1" applyBorder="1" applyAlignment="1">
      <alignment horizontal="center" vertical="center" wrapText="1"/>
    </xf>
    <xf numFmtId="0" fontId="9" fillId="2" borderId="43" xfId="2" applyFont="1" applyFill="1" applyBorder="1" applyAlignment="1">
      <alignment horizontal="center" vertical="center" wrapText="1"/>
    </xf>
    <xf numFmtId="2" fontId="15" fillId="0" borderId="27" xfId="2" applyNumberFormat="1" applyFont="1" applyBorder="1" applyAlignment="1">
      <alignment horizontal="center" vertical="center" wrapText="1"/>
    </xf>
    <xf numFmtId="2" fontId="15" fillId="0" borderId="32" xfId="2" applyNumberFormat="1" applyFont="1" applyBorder="1" applyAlignment="1">
      <alignment horizontal="center" vertical="center" wrapText="1"/>
    </xf>
    <xf numFmtId="178" fontId="15" fillId="0" borderId="27" xfId="2" applyNumberFormat="1" applyFont="1" applyBorder="1" applyAlignment="1">
      <alignment horizontal="center" vertical="center" wrapText="1"/>
    </xf>
    <xf numFmtId="178" fontId="15" fillId="0" borderId="28" xfId="2" applyNumberFormat="1" applyFont="1" applyBorder="1" applyAlignment="1">
      <alignment horizontal="center" vertical="center" wrapText="1"/>
    </xf>
    <xf numFmtId="178" fontId="15" fillId="0" borderId="32" xfId="2" applyNumberFormat="1" applyFont="1" applyBorder="1" applyAlignment="1">
      <alignment horizontal="center" vertical="center" wrapText="1"/>
    </xf>
    <xf numFmtId="178" fontId="15" fillId="0" borderId="33" xfId="2" applyNumberFormat="1" applyFont="1" applyBorder="1" applyAlignment="1">
      <alignment horizontal="center" vertical="center" wrapText="1"/>
    </xf>
    <xf numFmtId="0" fontId="5" fillId="0" borderId="29" xfId="2" applyFont="1" applyBorder="1" applyAlignment="1">
      <alignment horizontal="center" vertical="center" wrapText="1"/>
    </xf>
    <xf numFmtId="0" fontId="5" fillId="0" borderId="30" xfId="2" applyFont="1" applyBorder="1" applyAlignment="1">
      <alignment horizontal="center" vertical="center" wrapText="1"/>
    </xf>
    <xf numFmtId="177" fontId="5" fillId="0" borderId="31" xfId="2" applyNumberFormat="1" applyFont="1" applyBorder="1" applyAlignment="1">
      <alignment horizontal="center" vertical="center" wrapText="1"/>
    </xf>
    <xf numFmtId="177" fontId="5" fillId="0" borderId="30" xfId="2" applyNumberFormat="1" applyFont="1" applyBorder="1" applyAlignment="1">
      <alignment horizontal="center" vertical="center" wrapText="1"/>
    </xf>
    <xf numFmtId="177" fontId="14" fillId="3" borderId="31" xfId="2" applyNumberFormat="1" applyFont="1" applyFill="1" applyBorder="1" applyAlignment="1">
      <alignment horizontal="center" vertical="center" wrapText="1"/>
    </xf>
    <xf numFmtId="177" fontId="14" fillId="3" borderId="30" xfId="2" applyNumberFormat="1" applyFont="1" applyFill="1" applyBorder="1" applyAlignment="1">
      <alignment horizontal="center" vertical="center" wrapText="1"/>
    </xf>
    <xf numFmtId="0" fontId="14" fillId="2" borderId="24" xfId="2" applyFont="1" applyFill="1" applyBorder="1" applyAlignment="1">
      <alignment horizontal="center" vertical="center" wrapText="1"/>
    </xf>
    <xf numFmtId="0" fontId="14" fillId="2" borderId="25" xfId="2" applyFont="1" applyFill="1" applyBorder="1" applyAlignment="1">
      <alignment horizontal="center" vertical="center" wrapText="1"/>
    </xf>
    <xf numFmtId="177" fontId="14" fillId="2" borderId="26" xfId="2" applyNumberFormat="1" applyFont="1" applyFill="1" applyBorder="1" applyAlignment="1">
      <alignment horizontal="center" vertical="center" wrapText="1"/>
    </xf>
    <xf numFmtId="177" fontId="14" fillId="2" borderId="25" xfId="2" applyNumberFormat="1" applyFont="1" applyFill="1" applyBorder="1" applyAlignment="1">
      <alignment horizontal="center" vertical="center" wrapText="1"/>
    </xf>
    <xf numFmtId="177" fontId="14" fillId="3" borderId="26" xfId="2" applyNumberFormat="1" applyFont="1" applyFill="1" applyBorder="1" applyAlignment="1">
      <alignment horizontal="center" vertical="center" wrapText="1"/>
    </xf>
    <xf numFmtId="177" fontId="14" fillId="3" borderId="25" xfId="2" applyNumberFormat="1" applyFont="1" applyFill="1" applyBorder="1" applyAlignment="1">
      <alignment horizontal="center" vertical="center" wrapText="1"/>
    </xf>
    <xf numFmtId="0" fontId="15" fillId="3" borderId="27" xfId="2" applyFont="1" applyFill="1" applyBorder="1" applyAlignment="1">
      <alignment horizontal="center" vertical="center" wrapText="1"/>
    </xf>
    <xf numFmtId="0" fontId="15" fillId="3" borderId="32" xfId="2" applyFont="1" applyFill="1" applyBorder="1" applyAlignment="1">
      <alignment horizontal="center" vertical="center" wrapText="1"/>
    </xf>
    <xf numFmtId="0" fontId="3" fillId="0" borderId="8" xfId="2" applyFont="1" applyBorder="1" applyAlignment="1">
      <alignment horizontal="center" vertical="center" wrapText="1"/>
    </xf>
    <xf numFmtId="0" fontId="3" fillId="0" borderId="9" xfId="2" applyFont="1" applyBorder="1" applyAlignment="1">
      <alignment horizontal="center" vertical="center" wrapText="1"/>
    </xf>
    <xf numFmtId="0" fontId="3" fillId="0" borderId="55" xfId="2" applyFont="1" applyBorder="1" applyAlignment="1">
      <alignment horizontal="center" vertical="center" wrapText="1"/>
    </xf>
    <xf numFmtId="0" fontId="3" fillId="0" borderId="1" xfId="2" applyFont="1" applyBorder="1" applyAlignment="1">
      <alignment horizontal="center" vertical="center" wrapText="1"/>
    </xf>
    <xf numFmtId="0" fontId="3" fillId="0" borderId="0" xfId="2" applyFont="1" applyAlignment="1">
      <alignment horizontal="center" vertical="center" wrapText="1"/>
    </xf>
    <xf numFmtId="0" fontId="3" fillId="0" borderId="2" xfId="2" applyFont="1" applyBorder="1" applyAlignment="1">
      <alignment horizontal="center" vertical="center" wrapText="1"/>
    </xf>
    <xf numFmtId="0" fontId="5" fillId="2" borderId="3" xfId="2" applyFont="1" applyFill="1" applyBorder="1" applyAlignment="1">
      <alignment horizontal="center" vertical="center" wrapText="1"/>
    </xf>
    <xf numFmtId="0" fontId="5" fillId="2" borderId="5" xfId="2" applyFont="1" applyFill="1" applyBorder="1" applyAlignment="1">
      <alignment horizontal="center" vertical="center" wrapText="1"/>
    </xf>
    <xf numFmtId="0" fontId="5" fillId="2" borderId="6" xfId="2" applyFont="1" applyFill="1" applyBorder="1" applyAlignment="1">
      <alignment horizontal="center" vertical="center" wrapText="1"/>
    </xf>
    <xf numFmtId="0" fontId="10" fillId="2" borderId="3" xfId="2" applyFont="1" applyFill="1" applyBorder="1" applyAlignment="1">
      <alignment horizontal="center" vertical="center"/>
    </xf>
    <xf numFmtId="0" fontId="10" fillId="2" borderId="6" xfId="2" applyFont="1" applyFill="1" applyBorder="1" applyAlignment="1">
      <alignment horizontal="center" vertical="center"/>
    </xf>
    <xf numFmtId="176" fontId="11" fillId="0" borderId="1" xfId="2" applyNumberFormat="1" applyFont="1" applyBorder="1" applyAlignment="1">
      <alignment horizontal="center" vertical="center" wrapText="1"/>
    </xf>
    <xf numFmtId="176" fontId="11" fillId="0" borderId="0" xfId="2" applyNumberFormat="1" applyFont="1" applyAlignment="1">
      <alignment horizontal="center" vertical="center" wrapText="1"/>
    </xf>
    <xf numFmtId="176" fontId="11" fillId="0" borderId="2" xfId="2" applyNumberFormat="1" applyFont="1" applyBorder="1" applyAlignment="1">
      <alignment horizontal="center" vertical="center" wrapText="1"/>
    </xf>
    <xf numFmtId="176" fontId="12" fillId="0" borderId="46" xfId="2" applyNumberFormat="1" applyFont="1" applyBorder="1" applyAlignment="1">
      <alignment horizontal="left" vertical="center" wrapText="1"/>
    </xf>
    <xf numFmtId="176" fontId="12" fillId="0" borderId="7" xfId="2" applyNumberFormat="1" applyFont="1" applyBorder="1" applyAlignment="1">
      <alignment horizontal="left" vertical="center" wrapText="1"/>
    </xf>
    <xf numFmtId="0" fontId="5" fillId="2" borderId="8" xfId="2" applyFont="1" applyFill="1" applyBorder="1" applyAlignment="1">
      <alignment horizontal="center" vertical="center" wrapText="1"/>
    </xf>
    <xf numFmtId="0" fontId="5" fillId="2" borderId="9" xfId="2" applyFont="1" applyFill="1" applyBorder="1" applyAlignment="1">
      <alignment horizontal="center" vertical="center" wrapText="1"/>
    </xf>
    <xf numFmtId="0" fontId="5" fillId="2" borderId="10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 wrapText="1"/>
    </xf>
    <xf numFmtId="0" fontId="5" fillId="2" borderId="0" xfId="2" applyFont="1" applyFill="1" applyAlignment="1">
      <alignment horizontal="center" vertical="center" wrapText="1"/>
    </xf>
    <xf numFmtId="0" fontId="5" fillId="2" borderId="14" xfId="2" applyFont="1" applyFill="1" applyBorder="1" applyAlignment="1">
      <alignment horizontal="center" vertical="center" wrapText="1"/>
    </xf>
    <xf numFmtId="0" fontId="5" fillId="2" borderId="18" xfId="2" applyFont="1" applyFill="1" applyBorder="1" applyAlignment="1">
      <alignment horizontal="center" vertical="center" wrapText="1"/>
    </xf>
    <xf numFmtId="0" fontId="5" fillId="2" borderId="19" xfId="2" applyFont="1" applyFill="1" applyBorder="1" applyAlignment="1">
      <alignment horizontal="center" vertical="center" wrapText="1"/>
    </xf>
    <xf numFmtId="0" fontId="5" fillId="2" borderId="20" xfId="2" applyFont="1" applyFill="1" applyBorder="1" applyAlignment="1">
      <alignment horizontal="center" vertical="center" wrapText="1"/>
    </xf>
    <xf numFmtId="177" fontId="5" fillId="2" borderId="11" xfId="2" applyNumberFormat="1" applyFont="1" applyFill="1" applyBorder="1" applyAlignment="1">
      <alignment horizontal="center" vertical="center" wrapText="1"/>
    </xf>
    <xf numFmtId="177" fontId="5" fillId="2" borderId="9" xfId="2" applyNumberFormat="1" applyFont="1" applyFill="1" applyBorder="1" applyAlignment="1">
      <alignment horizontal="center" vertical="center" wrapText="1"/>
    </xf>
    <xf numFmtId="177" fontId="5" fillId="2" borderId="10" xfId="2" applyNumberFormat="1" applyFont="1" applyFill="1" applyBorder="1" applyAlignment="1">
      <alignment horizontal="center" vertical="center" wrapText="1"/>
    </xf>
    <xf numFmtId="177" fontId="5" fillId="2" borderId="15" xfId="2" applyNumberFormat="1" applyFont="1" applyFill="1" applyBorder="1" applyAlignment="1">
      <alignment horizontal="center" vertical="center" wrapText="1"/>
    </xf>
    <xf numFmtId="177" fontId="5" fillId="2" borderId="0" xfId="2" applyNumberFormat="1" applyFont="1" applyFill="1" applyAlignment="1">
      <alignment horizontal="center" vertical="center" wrapText="1"/>
    </xf>
    <xf numFmtId="177" fontId="5" fillId="2" borderId="14" xfId="2" applyNumberFormat="1" applyFont="1" applyFill="1" applyBorder="1" applyAlignment="1">
      <alignment horizontal="center" vertical="center" wrapText="1"/>
    </xf>
    <xf numFmtId="177" fontId="5" fillId="2" borderId="21" xfId="2" applyNumberFormat="1" applyFont="1" applyFill="1" applyBorder="1" applyAlignment="1">
      <alignment horizontal="center" vertical="center" wrapText="1"/>
    </xf>
    <xf numFmtId="177" fontId="5" fillId="2" borderId="19" xfId="2" applyNumberFormat="1" applyFont="1" applyFill="1" applyBorder="1" applyAlignment="1">
      <alignment horizontal="center" vertical="center" wrapText="1"/>
    </xf>
    <xf numFmtId="177" fontId="5" fillId="2" borderId="20" xfId="2" applyNumberFormat="1" applyFont="1" applyFill="1" applyBorder="1" applyAlignment="1">
      <alignment horizontal="center" vertical="center" wrapText="1"/>
    </xf>
    <xf numFmtId="0" fontId="5" fillId="2" borderId="12" xfId="2" applyFont="1" applyFill="1" applyBorder="1" applyAlignment="1">
      <alignment horizontal="center" vertical="center" wrapText="1"/>
    </xf>
    <xf numFmtId="0" fontId="5" fillId="2" borderId="16" xfId="2" applyFont="1" applyFill="1" applyBorder="1" applyAlignment="1">
      <alignment horizontal="center" vertical="center" wrapText="1"/>
    </xf>
    <xf numFmtId="0" fontId="5" fillId="2" borderId="22" xfId="2" applyFont="1" applyFill="1" applyBorder="1" applyAlignment="1">
      <alignment horizontal="center" vertical="center" wrapText="1"/>
    </xf>
    <xf numFmtId="0" fontId="5" fillId="2" borderId="13" xfId="2" applyFont="1" applyFill="1" applyBorder="1" applyAlignment="1">
      <alignment horizontal="center" vertical="center" wrapText="1"/>
    </xf>
    <xf numFmtId="0" fontId="5" fillId="2" borderId="17" xfId="2" applyFont="1" applyFill="1" applyBorder="1" applyAlignment="1">
      <alignment horizontal="center" vertical="center" wrapText="1"/>
    </xf>
    <xf numFmtId="0" fontId="5" fillId="2" borderId="23" xfId="2" applyFont="1" applyFill="1" applyBorder="1" applyAlignment="1">
      <alignment horizontal="center" vertical="center" wrapText="1"/>
    </xf>
  </cellXfs>
  <cellStyles count="3">
    <cellStyle name="백분율" xfId="1" builtinId="5"/>
    <cellStyle name="표준" xfId="0" builtinId="0"/>
    <cellStyle name="표준 4" xfId="2" xr:uid="{F891430E-5AA8-40C8-A371-352F664DF7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19901-8468-4306-901A-334D5589EE5A}">
  <sheetPr>
    <pageSetUpPr fitToPage="1"/>
  </sheetPr>
  <dimension ref="A1:X66"/>
  <sheetViews>
    <sheetView tabSelected="1" topLeftCell="A6" zoomScale="55" zoomScaleNormal="55" workbookViewId="0">
      <selection activeCell="B16" sqref="B16:C16"/>
    </sheetView>
  </sheetViews>
  <sheetFormatPr defaultRowHeight="16.5"/>
  <cols>
    <col min="1" max="1" width="15.125" style="18" customWidth="1"/>
    <col min="2" max="10" width="15.125" style="19" customWidth="1"/>
    <col min="11" max="13" width="15.125" style="18" customWidth="1"/>
    <col min="14" max="17" width="17.875" style="18" customWidth="1"/>
    <col min="24" max="24" width="18" bestFit="1" customWidth="1"/>
  </cols>
  <sheetData>
    <row r="1" spans="1:24" ht="23.25" customHeight="1" thickBot="1">
      <c r="A1" s="121" t="s">
        <v>40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3"/>
      <c r="N1" s="127" t="s">
        <v>0</v>
      </c>
      <c r="O1" s="1" t="s">
        <v>1</v>
      </c>
      <c r="P1" s="2" t="s">
        <v>2</v>
      </c>
      <c r="Q1" s="2" t="s">
        <v>3</v>
      </c>
    </row>
    <row r="2" spans="1:24" ht="25.5" customHeight="1">
      <c r="A2" s="124"/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6"/>
      <c r="N2" s="128"/>
      <c r="O2" s="130"/>
      <c r="P2" s="3"/>
      <c r="Q2" s="3"/>
    </row>
    <row r="3" spans="1:24" ht="32.25" thickBot="1">
      <c r="A3" s="132">
        <f ca="1">TODAY()</f>
        <v>45853</v>
      </c>
      <c r="B3" s="133"/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4"/>
      <c r="N3" s="129"/>
      <c r="O3" s="131"/>
      <c r="P3" s="4"/>
      <c r="Q3" s="4"/>
    </row>
    <row r="4" spans="1:24" ht="42" customHeight="1" thickBot="1">
      <c r="A4" s="135" t="s">
        <v>4</v>
      </c>
      <c r="B4" s="136"/>
      <c r="C4" s="136"/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36"/>
      <c r="Q4" s="37"/>
      <c r="X4" s="20"/>
    </row>
    <row r="5" spans="1:24" ht="16.5" customHeight="1">
      <c r="A5" s="137" t="s">
        <v>44</v>
      </c>
      <c r="B5" s="138"/>
      <c r="C5" s="138"/>
      <c r="D5" s="138"/>
      <c r="E5" s="138"/>
      <c r="F5" s="139"/>
      <c r="G5" s="146" t="s">
        <v>5</v>
      </c>
      <c r="H5" s="147"/>
      <c r="I5" s="147"/>
      <c r="J5" s="148"/>
      <c r="K5" s="155" t="s">
        <v>6</v>
      </c>
      <c r="L5" s="155" t="s">
        <v>7</v>
      </c>
      <c r="M5" s="155"/>
      <c r="N5" s="155"/>
      <c r="O5" s="155" t="s">
        <v>8</v>
      </c>
      <c r="P5" s="155"/>
      <c r="Q5" s="158"/>
    </row>
    <row r="6" spans="1:24" ht="16.5" customHeight="1">
      <c r="A6" s="140"/>
      <c r="B6" s="141"/>
      <c r="C6" s="141"/>
      <c r="D6" s="141"/>
      <c r="E6" s="141"/>
      <c r="F6" s="142"/>
      <c r="G6" s="149"/>
      <c r="H6" s="150"/>
      <c r="I6" s="150"/>
      <c r="J6" s="151"/>
      <c r="K6" s="156"/>
      <c r="L6" s="156"/>
      <c r="M6" s="156"/>
      <c r="N6" s="156"/>
      <c r="O6" s="156"/>
      <c r="P6" s="156"/>
      <c r="Q6" s="159"/>
    </row>
    <row r="7" spans="1:24" ht="16.5" customHeight="1">
      <c r="A7" s="143"/>
      <c r="B7" s="144"/>
      <c r="C7" s="144"/>
      <c r="D7" s="144"/>
      <c r="E7" s="144"/>
      <c r="F7" s="145"/>
      <c r="G7" s="152"/>
      <c r="H7" s="153"/>
      <c r="I7" s="153"/>
      <c r="J7" s="154"/>
      <c r="K7" s="157"/>
      <c r="L7" s="157"/>
      <c r="M7" s="157"/>
      <c r="N7" s="157"/>
      <c r="O7" s="157"/>
      <c r="P7" s="157"/>
      <c r="Q7" s="160"/>
    </row>
    <row r="8" spans="1:24" ht="20.25" customHeight="1">
      <c r="A8" s="113" t="s">
        <v>9</v>
      </c>
      <c r="B8" s="114"/>
      <c r="C8" s="115" t="s">
        <v>10</v>
      </c>
      <c r="D8" s="116"/>
      <c r="E8" s="115" t="s">
        <v>55</v>
      </c>
      <c r="F8" s="116"/>
      <c r="G8" s="117" t="s">
        <v>10</v>
      </c>
      <c r="H8" s="118"/>
      <c r="I8" s="117" t="s">
        <v>55</v>
      </c>
      <c r="J8" s="118"/>
      <c r="K8" s="119">
        <f>COUNTIFS(A13:A22,"&lt;&gt;0",A13:A22,"&lt;&gt;")</f>
        <v>0</v>
      </c>
      <c r="L8" s="101">
        <f>IFERROR(A9/K8,0)</f>
        <v>0</v>
      </c>
      <c r="M8" s="101"/>
      <c r="N8" s="101"/>
      <c r="O8" s="103">
        <v>100</v>
      </c>
      <c r="P8" s="103"/>
      <c r="Q8" s="104"/>
    </row>
    <row r="9" spans="1:24" ht="26.25" customHeight="1" thickBot="1">
      <c r="A9" s="107">
        <f>C9+E9</f>
        <v>0</v>
      </c>
      <c r="B9" s="108"/>
      <c r="C9" s="109"/>
      <c r="D9" s="110"/>
      <c r="E9" s="109"/>
      <c r="F9" s="110"/>
      <c r="G9" s="111"/>
      <c r="H9" s="112"/>
      <c r="I9" s="111"/>
      <c r="J9" s="112"/>
      <c r="K9" s="120"/>
      <c r="L9" s="102"/>
      <c r="M9" s="102"/>
      <c r="N9" s="102"/>
      <c r="O9" s="105"/>
      <c r="P9" s="105"/>
      <c r="Q9" s="106"/>
    </row>
    <row r="10" spans="1:24" ht="42" customHeight="1" thickBot="1">
      <c r="A10" s="88" t="s">
        <v>11</v>
      </c>
      <c r="B10" s="89"/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90"/>
    </row>
    <row r="11" spans="1:24" ht="22.5" customHeight="1">
      <c r="A11" s="5" t="s">
        <v>12</v>
      </c>
      <c r="B11" s="94" t="s">
        <v>13</v>
      </c>
      <c r="C11" s="95"/>
      <c r="D11" s="95"/>
      <c r="E11" s="96"/>
      <c r="F11" s="94" t="s">
        <v>14</v>
      </c>
      <c r="G11" s="95"/>
      <c r="H11" s="95"/>
      <c r="I11" s="96"/>
      <c r="J11" s="97" t="s">
        <v>15</v>
      </c>
      <c r="K11" s="98"/>
      <c r="L11" s="98"/>
      <c r="M11" s="99"/>
      <c r="N11" s="97" t="s">
        <v>16</v>
      </c>
      <c r="O11" s="98"/>
      <c r="P11" s="98"/>
      <c r="Q11" s="100"/>
    </row>
    <row r="12" spans="1:24" ht="26.25">
      <c r="A12" s="6" t="s">
        <v>17</v>
      </c>
      <c r="B12" s="48" t="s">
        <v>18</v>
      </c>
      <c r="C12" s="49"/>
      <c r="D12" s="48" t="s">
        <v>19</v>
      </c>
      <c r="E12" s="49"/>
      <c r="F12" s="48" t="s">
        <v>18</v>
      </c>
      <c r="G12" s="49"/>
      <c r="H12" s="48" t="s">
        <v>19</v>
      </c>
      <c r="I12" s="49"/>
      <c r="J12" s="91" t="s">
        <v>18</v>
      </c>
      <c r="K12" s="92"/>
      <c r="L12" s="91" t="s">
        <v>19</v>
      </c>
      <c r="M12" s="92"/>
      <c r="N12" s="91" t="s">
        <v>18</v>
      </c>
      <c r="O12" s="92"/>
      <c r="P12" s="91" t="s">
        <v>19</v>
      </c>
      <c r="Q12" s="93"/>
    </row>
    <row r="13" spans="1:24" ht="36" customHeight="1">
      <c r="A13" s="30"/>
      <c r="B13" s="48"/>
      <c r="C13" s="49"/>
      <c r="D13" s="48"/>
      <c r="E13" s="49"/>
      <c r="F13" s="48"/>
      <c r="G13" s="49"/>
      <c r="H13" s="48"/>
      <c r="I13" s="49"/>
      <c r="J13" s="48"/>
      <c r="K13" s="49"/>
      <c r="L13" s="48"/>
      <c r="M13" s="49"/>
      <c r="N13" s="87"/>
      <c r="O13" s="87"/>
      <c r="P13" s="48"/>
      <c r="Q13" s="50"/>
    </row>
    <row r="14" spans="1:24" ht="36" customHeight="1">
      <c r="A14" s="30"/>
      <c r="B14" s="48"/>
      <c r="C14" s="49"/>
      <c r="D14" s="48"/>
      <c r="E14" s="49"/>
      <c r="F14" s="48"/>
      <c r="G14" s="49"/>
      <c r="H14" s="48"/>
      <c r="I14" s="49"/>
      <c r="J14" s="48"/>
      <c r="K14" s="49"/>
      <c r="L14" s="48"/>
      <c r="M14" s="49"/>
      <c r="N14" s="87"/>
      <c r="O14" s="87"/>
      <c r="P14" s="48"/>
      <c r="Q14" s="50"/>
    </row>
    <row r="15" spans="1:24" ht="36" customHeight="1">
      <c r="A15" s="30"/>
      <c r="B15" s="48"/>
      <c r="C15" s="49"/>
      <c r="D15" s="48"/>
      <c r="E15" s="49"/>
      <c r="F15" s="48"/>
      <c r="G15" s="49"/>
      <c r="H15" s="48"/>
      <c r="I15" s="49"/>
      <c r="J15" s="48"/>
      <c r="K15" s="49"/>
      <c r="L15" s="48"/>
      <c r="M15" s="49"/>
      <c r="N15" s="87"/>
      <c r="O15" s="87"/>
      <c r="P15" s="48"/>
      <c r="Q15" s="50"/>
    </row>
    <row r="16" spans="1:24" ht="36" customHeight="1">
      <c r="A16" s="30"/>
      <c r="B16" s="48"/>
      <c r="C16" s="49"/>
      <c r="D16" s="48"/>
      <c r="E16" s="49"/>
      <c r="F16" s="48"/>
      <c r="G16" s="49"/>
      <c r="H16" s="48"/>
      <c r="I16" s="49"/>
      <c r="J16" s="48"/>
      <c r="K16" s="49"/>
      <c r="L16" s="48"/>
      <c r="M16" s="49"/>
      <c r="N16" s="87"/>
      <c r="O16" s="87"/>
      <c r="P16" s="48"/>
      <c r="Q16" s="50"/>
    </row>
    <row r="17" spans="1:17" ht="36" customHeight="1">
      <c r="A17" s="30"/>
      <c r="B17" s="48"/>
      <c r="C17" s="49"/>
      <c r="D17" s="48"/>
      <c r="E17" s="49"/>
      <c r="F17" s="48"/>
      <c r="G17" s="49"/>
      <c r="H17" s="48"/>
      <c r="I17" s="49"/>
      <c r="J17" s="48"/>
      <c r="K17" s="49"/>
      <c r="L17" s="48"/>
      <c r="M17" s="49"/>
      <c r="N17" s="87"/>
      <c r="O17" s="87"/>
      <c r="P17" s="48"/>
      <c r="Q17" s="50"/>
    </row>
    <row r="18" spans="1:17" ht="36" customHeight="1">
      <c r="A18" s="30"/>
      <c r="B18" s="48"/>
      <c r="C18" s="49"/>
      <c r="D18" s="48"/>
      <c r="E18" s="49"/>
      <c r="F18" s="48"/>
      <c r="G18" s="49"/>
      <c r="H18" s="48"/>
      <c r="I18" s="49"/>
      <c r="J18" s="48"/>
      <c r="K18" s="49"/>
      <c r="L18" s="48"/>
      <c r="M18" s="49"/>
      <c r="N18" s="48"/>
      <c r="O18" s="49"/>
      <c r="P18" s="48"/>
      <c r="Q18" s="50"/>
    </row>
    <row r="19" spans="1:17" ht="36" customHeight="1">
      <c r="A19" s="30"/>
      <c r="B19" s="48"/>
      <c r="C19" s="49"/>
      <c r="D19" s="48"/>
      <c r="E19" s="49"/>
      <c r="F19" s="48"/>
      <c r="G19" s="49"/>
      <c r="H19" s="48"/>
      <c r="I19" s="49"/>
      <c r="J19" s="48"/>
      <c r="K19" s="49"/>
      <c r="L19" s="48"/>
      <c r="M19" s="49"/>
      <c r="N19" s="48"/>
      <c r="O19" s="49"/>
      <c r="P19" s="48"/>
      <c r="Q19" s="50"/>
    </row>
    <row r="20" spans="1:17" ht="36" customHeight="1">
      <c r="A20" s="30"/>
      <c r="B20" s="48"/>
      <c r="C20" s="49"/>
      <c r="D20" s="48"/>
      <c r="E20" s="49"/>
      <c r="F20" s="48"/>
      <c r="G20" s="49"/>
      <c r="H20" s="48"/>
      <c r="I20" s="49"/>
      <c r="J20" s="48"/>
      <c r="K20" s="49"/>
      <c r="L20" s="48"/>
      <c r="M20" s="49"/>
      <c r="N20" s="48"/>
      <c r="O20" s="49"/>
      <c r="P20" s="48"/>
      <c r="Q20" s="50"/>
    </row>
    <row r="21" spans="1:17" ht="36" customHeight="1">
      <c r="A21" s="30"/>
      <c r="B21" s="48"/>
      <c r="C21" s="49"/>
      <c r="D21" s="48"/>
      <c r="E21" s="49"/>
      <c r="F21" s="48"/>
      <c r="G21" s="49"/>
      <c r="H21" s="48"/>
      <c r="I21" s="49"/>
      <c r="J21" s="48"/>
      <c r="K21" s="49"/>
      <c r="L21" s="48"/>
      <c r="M21" s="49"/>
      <c r="N21" s="48"/>
      <c r="O21" s="49"/>
      <c r="P21" s="48"/>
      <c r="Q21" s="50"/>
    </row>
    <row r="22" spans="1:17" ht="36" customHeight="1">
      <c r="A22" s="30"/>
      <c r="B22" s="48"/>
      <c r="C22" s="49"/>
      <c r="D22" s="48"/>
      <c r="E22" s="49"/>
      <c r="F22" s="48"/>
      <c r="G22" s="49"/>
      <c r="H22" s="48"/>
      <c r="I22" s="49"/>
      <c r="J22" s="48"/>
      <c r="K22" s="49"/>
      <c r="L22" s="48"/>
      <c r="M22" s="49"/>
      <c r="N22" s="48"/>
      <c r="O22" s="49"/>
      <c r="P22" s="48"/>
      <c r="Q22" s="50"/>
    </row>
    <row r="23" spans="1:17" ht="34.5" thickBot="1">
      <c r="A23" s="8" t="s">
        <v>9</v>
      </c>
      <c r="B23" s="66">
        <f>SUM(B13:C22)</f>
        <v>0</v>
      </c>
      <c r="C23" s="67"/>
      <c r="D23" s="66">
        <f>SUM(D13:E22)</f>
        <v>0</v>
      </c>
      <c r="E23" s="67"/>
      <c r="F23" s="66">
        <f>SUM(F13:G22)</f>
        <v>0</v>
      </c>
      <c r="G23" s="67"/>
      <c r="H23" s="66">
        <f>SUM(H13:I22)</f>
        <v>0</v>
      </c>
      <c r="I23" s="67"/>
      <c r="J23" s="66">
        <f>SUM(J13:K22)</f>
        <v>0</v>
      </c>
      <c r="K23" s="67"/>
      <c r="L23" s="66">
        <f>SUM(L13:M22)</f>
        <v>0</v>
      </c>
      <c r="M23" s="67"/>
      <c r="N23" s="66">
        <f>SUM(N13:O22)</f>
        <v>0</v>
      </c>
      <c r="O23" s="67"/>
      <c r="P23" s="66">
        <f>SUM(P13:Q22)</f>
        <v>0</v>
      </c>
      <c r="Q23" s="67"/>
    </row>
    <row r="24" spans="1:17" ht="32.25" customHeight="1" thickBot="1">
      <c r="A24" s="68" t="s">
        <v>20</v>
      </c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70"/>
    </row>
    <row r="25" spans="1:17" ht="26.25" customHeight="1">
      <c r="A25" s="71" t="s">
        <v>12</v>
      </c>
      <c r="B25" s="73" t="s">
        <v>41</v>
      </c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5"/>
      <c r="O25" s="75"/>
      <c r="P25" s="74"/>
      <c r="Q25" s="76"/>
    </row>
    <row r="26" spans="1:17" ht="40.5">
      <c r="A26" s="72"/>
      <c r="B26" s="9" t="s">
        <v>45</v>
      </c>
      <c r="C26" s="9" t="s">
        <v>46</v>
      </c>
      <c r="D26" s="9" t="s">
        <v>28</v>
      </c>
      <c r="E26" s="9" t="s">
        <v>48</v>
      </c>
      <c r="F26" s="9" t="s">
        <v>49</v>
      </c>
      <c r="G26" s="9" t="s">
        <v>47</v>
      </c>
      <c r="H26" s="9" t="s">
        <v>56</v>
      </c>
      <c r="I26" s="9" t="s">
        <v>53</v>
      </c>
      <c r="J26" s="10" t="s">
        <v>54</v>
      </c>
      <c r="K26" s="10" t="s">
        <v>50</v>
      </c>
      <c r="L26" s="10" t="s">
        <v>59</v>
      </c>
      <c r="M26" s="31" t="s">
        <v>51</v>
      </c>
      <c r="N26" s="81"/>
      <c r="O26" s="82"/>
      <c r="P26" s="32" t="s">
        <v>34</v>
      </c>
      <c r="Q26" s="21" t="s">
        <v>35</v>
      </c>
    </row>
    <row r="27" spans="1:17" ht="36.75" customHeight="1">
      <c r="A27" s="7" t="s">
        <v>52</v>
      </c>
      <c r="B27" s="11">
        <f t="shared" ref="B27:H27" si="0">IFERROR(SUM(B28,B29,B30,B31,B32,B33,B34,B35,B36,B37),0)</f>
        <v>0</v>
      </c>
      <c r="C27" s="11">
        <f t="shared" si="0"/>
        <v>0</v>
      </c>
      <c r="D27" s="11">
        <f t="shared" si="0"/>
        <v>0</v>
      </c>
      <c r="E27" s="11">
        <f t="shared" si="0"/>
        <v>0</v>
      </c>
      <c r="F27" s="11">
        <f t="shared" si="0"/>
        <v>0</v>
      </c>
      <c r="G27" s="11">
        <f t="shared" si="0"/>
        <v>0</v>
      </c>
      <c r="H27" s="11">
        <f t="shared" si="0"/>
        <v>0</v>
      </c>
      <c r="I27" s="12">
        <f t="shared" ref="I27" si="1">IFERROR(AVERAGE(I28,I29,I30,I31,I32,I33,I34,I35,I36,I37),0)</f>
        <v>0</v>
      </c>
      <c r="J27" s="12">
        <f t="shared" ref="J27" si="2">IFERROR(AVERAGE(J28,J29,J30,J31,J32,J33,J34,J35,J36,J37),0)</f>
        <v>0</v>
      </c>
      <c r="K27" s="12">
        <f t="shared" ref="K27" si="3">IFERROR(AVERAGE(K28,K29,K30,K31,K32,K33,K34,K35,K36,K37),0)</f>
        <v>0</v>
      </c>
      <c r="L27" s="12">
        <f t="shared" ref="L27" si="4">IFERROR(AVERAGE(L28,L29,L30,L31,L32,L33,L34,L35,L36,L37),0)</f>
        <v>0</v>
      </c>
      <c r="M27" s="28">
        <f t="shared" ref="M27" si="5">IFERROR(AVERAGE(M28,M29,M30,M31,M32,M33,M34,M35,M36,M37),0)</f>
        <v>0</v>
      </c>
      <c r="N27" s="83"/>
      <c r="O27" s="84"/>
      <c r="P27" s="33">
        <f t="shared" ref="P27" si="6">IFERROR(AVERAGE(P28,P29,P30,P31,P32,P33,P34,P35,P36,P37),0)</f>
        <v>0</v>
      </c>
      <c r="Q27" s="29">
        <f>IFERROR(SUM(Q28,Q29,Q30,Q31,Q32,Q33,Q34,Q35,Q36,Q37),0)</f>
        <v>0</v>
      </c>
    </row>
    <row r="28" spans="1:17" ht="36.75" customHeight="1">
      <c r="A28" s="7"/>
      <c r="B28" s="13"/>
      <c r="C28" s="13"/>
      <c r="D28" s="13"/>
      <c r="E28" s="13"/>
      <c r="F28" s="13"/>
      <c r="G28" s="13"/>
      <c r="H28" s="13"/>
      <c r="I28" s="14"/>
      <c r="J28" s="14"/>
      <c r="K28" s="14"/>
      <c r="L28" s="14"/>
      <c r="M28" s="26"/>
      <c r="N28" s="83"/>
      <c r="O28" s="84"/>
      <c r="P28" s="34"/>
      <c r="Q28" s="22"/>
    </row>
    <row r="29" spans="1:17" ht="36.75" customHeight="1">
      <c r="A29" s="7"/>
      <c r="B29" s="13"/>
      <c r="C29" s="13"/>
      <c r="D29" s="13"/>
      <c r="E29" s="13"/>
      <c r="F29" s="13"/>
      <c r="G29" s="13"/>
      <c r="H29" s="13"/>
      <c r="I29" s="14"/>
      <c r="J29" s="14"/>
      <c r="K29" s="14"/>
      <c r="L29" s="14"/>
      <c r="M29" s="26"/>
      <c r="N29" s="83"/>
      <c r="O29" s="84"/>
      <c r="P29" s="34"/>
      <c r="Q29" s="22"/>
    </row>
    <row r="30" spans="1:17" ht="36.75" customHeight="1">
      <c r="A30" s="7"/>
      <c r="B30" s="13"/>
      <c r="C30" s="13"/>
      <c r="D30" s="13"/>
      <c r="E30" s="13"/>
      <c r="F30" s="13"/>
      <c r="G30" s="13"/>
      <c r="H30" s="13"/>
      <c r="I30" s="14"/>
      <c r="J30" s="14"/>
      <c r="K30" s="14"/>
      <c r="L30" s="14"/>
      <c r="M30" s="26"/>
      <c r="N30" s="83"/>
      <c r="O30" s="84"/>
      <c r="P30" s="34"/>
      <c r="Q30" s="22"/>
    </row>
    <row r="31" spans="1:17" ht="36.75" customHeight="1">
      <c r="A31" s="7"/>
      <c r="B31" s="13"/>
      <c r="C31" s="13"/>
      <c r="D31" s="13"/>
      <c r="E31" s="13"/>
      <c r="F31" s="13"/>
      <c r="G31" s="13"/>
      <c r="H31" s="13"/>
      <c r="I31" s="14"/>
      <c r="J31" s="14"/>
      <c r="K31" s="14"/>
      <c r="L31" s="14"/>
      <c r="M31" s="26"/>
      <c r="N31" s="83"/>
      <c r="O31" s="84"/>
      <c r="P31" s="34"/>
      <c r="Q31" s="22"/>
    </row>
    <row r="32" spans="1:17" ht="36.75" customHeight="1">
      <c r="A32" s="7"/>
      <c r="B32" s="13"/>
      <c r="C32" s="13"/>
      <c r="D32" s="13"/>
      <c r="E32" s="13"/>
      <c r="F32" s="13"/>
      <c r="G32" s="13"/>
      <c r="H32" s="13"/>
      <c r="I32" s="14"/>
      <c r="J32" s="14"/>
      <c r="K32" s="14"/>
      <c r="L32" s="14"/>
      <c r="M32" s="26"/>
      <c r="N32" s="83"/>
      <c r="O32" s="84"/>
      <c r="P32" s="34"/>
      <c r="Q32" s="22"/>
    </row>
    <row r="33" spans="1:17" ht="36.75" customHeight="1">
      <c r="A33" s="7"/>
      <c r="B33" s="13"/>
      <c r="C33" s="13"/>
      <c r="D33" s="13"/>
      <c r="E33" s="13"/>
      <c r="F33" s="13"/>
      <c r="G33" s="13"/>
      <c r="H33" s="13"/>
      <c r="I33" s="14"/>
      <c r="J33" s="14"/>
      <c r="K33" s="14"/>
      <c r="L33" s="14"/>
      <c r="M33" s="26"/>
      <c r="N33" s="83"/>
      <c r="O33" s="84"/>
      <c r="P33" s="34"/>
      <c r="Q33" s="22"/>
    </row>
    <row r="34" spans="1:17" ht="36.75" customHeight="1">
      <c r="A34" s="7"/>
      <c r="B34" s="13"/>
      <c r="C34" s="13"/>
      <c r="D34" s="13"/>
      <c r="E34" s="13"/>
      <c r="F34" s="13"/>
      <c r="G34" s="13"/>
      <c r="H34" s="13"/>
      <c r="I34" s="14"/>
      <c r="J34" s="14"/>
      <c r="K34" s="14"/>
      <c r="L34" s="14"/>
      <c r="M34" s="26"/>
      <c r="N34" s="83"/>
      <c r="O34" s="84"/>
      <c r="P34" s="34"/>
      <c r="Q34" s="22"/>
    </row>
    <row r="35" spans="1:17" ht="36.75" customHeight="1">
      <c r="A35" s="7"/>
      <c r="B35" s="13"/>
      <c r="C35" s="13"/>
      <c r="D35" s="13"/>
      <c r="E35" s="13"/>
      <c r="F35" s="13"/>
      <c r="G35" s="13"/>
      <c r="H35" s="13"/>
      <c r="I35" s="14"/>
      <c r="J35" s="14"/>
      <c r="K35" s="14"/>
      <c r="L35" s="14"/>
      <c r="M35" s="26"/>
      <c r="N35" s="83"/>
      <c r="O35" s="84"/>
      <c r="P35" s="34"/>
      <c r="Q35" s="22"/>
    </row>
    <row r="36" spans="1:17" ht="36.75" customHeight="1">
      <c r="A36" s="7"/>
      <c r="B36" s="13"/>
      <c r="C36" s="13"/>
      <c r="D36" s="13"/>
      <c r="E36" s="13"/>
      <c r="F36" s="13"/>
      <c r="G36" s="13"/>
      <c r="H36" s="13"/>
      <c r="I36" s="14"/>
      <c r="J36" s="14"/>
      <c r="K36" s="14"/>
      <c r="L36" s="14"/>
      <c r="M36" s="26"/>
      <c r="N36" s="83"/>
      <c r="O36" s="84"/>
      <c r="P36" s="34"/>
      <c r="Q36" s="22"/>
    </row>
    <row r="37" spans="1:17" ht="36.75" customHeight="1" thickBot="1">
      <c r="A37" s="45"/>
      <c r="B37" s="46"/>
      <c r="C37" s="46"/>
      <c r="D37" s="46"/>
      <c r="E37" s="46"/>
      <c r="F37" s="46"/>
      <c r="G37" s="46"/>
      <c r="H37" s="46"/>
      <c r="I37" s="40"/>
      <c r="J37" s="40"/>
      <c r="K37" s="40"/>
      <c r="L37" s="40"/>
      <c r="M37" s="47"/>
      <c r="N37" s="85"/>
      <c r="O37" s="86"/>
      <c r="P37" s="35"/>
      <c r="Q37" s="41"/>
    </row>
    <row r="38" spans="1:17" ht="26.25" customHeight="1">
      <c r="A38" s="71" t="s">
        <v>12</v>
      </c>
      <c r="B38" s="77" t="s">
        <v>42</v>
      </c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6"/>
    </row>
    <row r="39" spans="1:17" ht="40.5">
      <c r="A39" s="72"/>
      <c r="B39" s="15" t="s">
        <v>21</v>
      </c>
      <c r="C39" s="15" t="s">
        <v>22</v>
      </c>
      <c r="D39" s="15" t="s">
        <v>23</v>
      </c>
      <c r="E39" s="15" t="s">
        <v>57</v>
      </c>
      <c r="F39" s="15" t="s">
        <v>24</v>
      </c>
      <c r="G39" s="15" t="s">
        <v>25</v>
      </c>
      <c r="H39" s="15" t="s">
        <v>26</v>
      </c>
      <c r="I39" s="15" t="s">
        <v>27</v>
      </c>
      <c r="J39" s="15" t="s">
        <v>28</v>
      </c>
      <c r="K39" s="16" t="s">
        <v>29</v>
      </c>
      <c r="L39" s="16" t="s">
        <v>30</v>
      </c>
      <c r="M39" s="16" t="s">
        <v>58</v>
      </c>
      <c r="N39" s="16" t="s">
        <v>32</v>
      </c>
      <c r="O39" s="39" t="s">
        <v>33</v>
      </c>
      <c r="P39" s="10" t="s">
        <v>34</v>
      </c>
      <c r="Q39" s="21" t="s">
        <v>35</v>
      </c>
    </row>
    <row r="40" spans="1:17" ht="36.75" customHeight="1">
      <c r="A40" s="7" t="s">
        <v>37</v>
      </c>
      <c r="B40" s="11">
        <f>IFERROR(SUM(B41,B42,B43,B44,B45,B46,B47,B48,B49,B50),0)</f>
        <v>0</v>
      </c>
      <c r="C40" s="11">
        <f t="shared" ref="C40:F40" si="7">IFERROR(SUM(C41,C42,C43,C44,C45,C46,C47,C48,C49,C50),0)</f>
        <v>0</v>
      </c>
      <c r="D40" s="11">
        <f t="shared" si="7"/>
        <v>0</v>
      </c>
      <c r="E40" s="11">
        <f t="shared" si="7"/>
        <v>0</v>
      </c>
      <c r="F40" s="11">
        <f t="shared" si="7"/>
        <v>0</v>
      </c>
      <c r="G40" s="11">
        <f>IFERROR(SUM(G41,G42,G43,G44,G45,G46,G47,G48,G49,G50),0)</f>
        <v>0</v>
      </c>
      <c r="H40" s="11">
        <f>IFERROR(SUM(H41,H42,H43,H44,H45,H46,H47,H48,H49,H50),0)</f>
        <v>0</v>
      </c>
      <c r="I40" s="11">
        <f>IFERROR(SUM(I41,I42,I43,I44,I45,I46,I47,I48,I49,I50),0)</f>
        <v>0</v>
      </c>
      <c r="J40" s="11">
        <f>IFERROR(SUM(J41,J42,J43,J44,J45,J46,J47,J48,J49,J50),0)</f>
        <v>0</v>
      </c>
      <c r="K40" s="12">
        <f t="shared" ref="K40:P40" si="8">IFERROR(AVERAGE(K41,K42,K43,K44,K45,K46,K47,K48,K49,K50),0)</f>
        <v>0</v>
      </c>
      <c r="L40" s="12">
        <f t="shared" si="8"/>
        <v>0</v>
      </c>
      <c r="M40" s="12">
        <f t="shared" si="8"/>
        <v>0</v>
      </c>
      <c r="N40" s="12">
        <f t="shared" si="8"/>
        <v>0</v>
      </c>
      <c r="O40" s="28">
        <f t="shared" si="8"/>
        <v>0</v>
      </c>
      <c r="P40" s="12">
        <f t="shared" si="8"/>
        <v>0</v>
      </c>
      <c r="Q40" s="29">
        <f>IFERROR(SUM(Q41,Q42,Q43,Q44,Q45,Q46,Q47,Q48,Q49,Q50),0)</f>
        <v>0</v>
      </c>
    </row>
    <row r="41" spans="1:17" ht="36.75" customHeight="1">
      <c r="A41" s="7"/>
      <c r="B41" s="13"/>
      <c r="C41" s="13"/>
      <c r="D41" s="13"/>
      <c r="E41" s="13"/>
      <c r="F41" s="13"/>
      <c r="G41" s="13"/>
      <c r="H41" s="13"/>
      <c r="I41" s="13"/>
      <c r="J41" s="13"/>
      <c r="K41" s="14"/>
      <c r="L41" s="14"/>
      <c r="M41" s="14"/>
      <c r="N41" s="14"/>
      <c r="O41" s="26"/>
      <c r="P41" s="14"/>
      <c r="Q41" s="22"/>
    </row>
    <row r="42" spans="1:17" ht="36.75" customHeight="1">
      <c r="A42" s="7"/>
      <c r="B42" s="13"/>
      <c r="C42" s="13"/>
      <c r="D42" s="13"/>
      <c r="E42" s="13"/>
      <c r="F42" s="13"/>
      <c r="G42" s="13"/>
      <c r="H42" s="13"/>
      <c r="I42" s="13"/>
      <c r="J42" s="13"/>
      <c r="K42" s="14"/>
      <c r="L42" s="14"/>
      <c r="M42" s="14"/>
      <c r="N42" s="14"/>
      <c r="O42" s="26"/>
      <c r="P42" s="14"/>
      <c r="Q42" s="22"/>
    </row>
    <row r="43" spans="1:17" ht="36.75" customHeight="1">
      <c r="A43" s="7"/>
      <c r="B43" s="13"/>
      <c r="C43" s="13"/>
      <c r="D43" s="13"/>
      <c r="E43" s="13"/>
      <c r="F43" s="13"/>
      <c r="G43" s="13"/>
      <c r="H43" s="13"/>
      <c r="I43" s="13"/>
      <c r="J43" s="13"/>
      <c r="K43" s="14"/>
      <c r="L43" s="14"/>
      <c r="M43" s="14"/>
      <c r="N43" s="14"/>
      <c r="O43" s="26"/>
      <c r="P43" s="14"/>
      <c r="Q43" s="22"/>
    </row>
    <row r="44" spans="1:17" ht="36.75" customHeight="1">
      <c r="A44" s="7"/>
      <c r="B44" s="13"/>
      <c r="C44" s="13"/>
      <c r="D44" s="13"/>
      <c r="E44" s="13"/>
      <c r="F44" s="13"/>
      <c r="G44" s="13"/>
      <c r="H44" s="13"/>
      <c r="I44" s="13"/>
      <c r="J44" s="13"/>
      <c r="K44" s="14"/>
      <c r="L44" s="14"/>
      <c r="M44" s="14"/>
      <c r="N44" s="14"/>
      <c r="O44" s="26"/>
      <c r="P44" s="14"/>
      <c r="Q44" s="22"/>
    </row>
    <row r="45" spans="1:17" ht="36.75" customHeight="1">
      <c r="A45" s="7"/>
      <c r="B45" s="13"/>
      <c r="C45" s="13"/>
      <c r="D45" s="13"/>
      <c r="E45" s="13"/>
      <c r="F45" s="13"/>
      <c r="G45" s="13"/>
      <c r="H45" s="13"/>
      <c r="I45" s="13"/>
      <c r="J45" s="13"/>
      <c r="K45" s="14"/>
      <c r="L45" s="14"/>
      <c r="M45" s="14"/>
      <c r="N45" s="14"/>
      <c r="O45" s="26"/>
      <c r="P45" s="14"/>
      <c r="Q45" s="22"/>
    </row>
    <row r="46" spans="1:17" ht="36.75" customHeight="1">
      <c r="A46" s="7"/>
      <c r="B46" s="13"/>
      <c r="C46" s="13"/>
      <c r="D46" s="13"/>
      <c r="E46" s="13"/>
      <c r="F46" s="13"/>
      <c r="G46" s="13"/>
      <c r="H46" s="13"/>
      <c r="I46" s="13"/>
      <c r="J46" s="13"/>
      <c r="K46" s="14"/>
      <c r="L46" s="14"/>
      <c r="M46" s="14"/>
      <c r="N46" s="14"/>
      <c r="O46" s="26"/>
      <c r="P46" s="14"/>
      <c r="Q46" s="22"/>
    </row>
    <row r="47" spans="1:17" ht="36.75" customHeight="1">
      <c r="A47" s="7"/>
      <c r="B47" s="13"/>
      <c r="C47" s="13"/>
      <c r="D47" s="13"/>
      <c r="E47" s="13"/>
      <c r="F47" s="13"/>
      <c r="G47" s="13"/>
      <c r="H47" s="13"/>
      <c r="I47" s="13"/>
      <c r="J47" s="13"/>
      <c r="K47" s="14"/>
      <c r="L47" s="14"/>
      <c r="M47" s="14"/>
      <c r="N47" s="14"/>
      <c r="O47" s="26"/>
      <c r="P47" s="14"/>
      <c r="Q47" s="22"/>
    </row>
    <row r="48" spans="1:17" ht="36.75" customHeight="1">
      <c r="A48" s="7"/>
      <c r="B48" s="13"/>
      <c r="C48" s="13"/>
      <c r="D48" s="13"/>
      <c r="E48" s="13"/>
      <c r="F48" s="13"/>
      <c r="G48" s="13"/>
      <c r="H48" s="13"/>
      <c r="I48" s="13"/>
      <c r="J48" s="13"/>
      <c r="K48" s="14"/>
      <c r="L48" s="14"/>
      <c r="M48" s="14"/>
      <c r="N48" s="14"/>
      <c r="O48" s="26"/>
      <c r="P48" s="14"/>
      <c r="Q48" s="22"/>
    </row>
    <row r="49" spans="1:17" ht="36.75" customHeight="1">
      <c r="A49" s="7"/>
      <c r="B49" s="13"/>
      <c r="C49" s="13"/>
      <c r="D49" s="13"/>
      <c r="E49" s="13"/>
      <c r="F49" s="13"/>
      <c r="G49" s="13"/>
      <c r="H49" s="13"/>
      <c r="I49" s="13"/>
      <c r="J49" s="13"/>
      <c r="K49" s="14"/>
      <c r="L49" s="14"/>
      <c r="M49" s="14"/>
      <c r="N49" s="14"/>
      <c r="O49" s="26"/>
      <c r="P49" s="14"/>
      <c r="Q49" s="22"/>
    </row>
    <row r="50" spans="1:17" ht="36.75" customHeight="1" thickBot="1">
      <c r="A50" s="45"/>
      <c r="B50" s="46"/>
      <c r="C50" s="46"/>
      <c r="D50" s="46"/>
      <c r="E50" s="46"/>
      <c r="F50" s="46"/>
      <c r="G50" s="46"/>
      <c r="H50" s="46"/>
      <c r="I50" s="46"/>
      <c r="J50" s="46"/>
      <c r="K50" s="40"/>
      <c r="L50" s="40"/>
      <c r="M50" s="40"/>
      <c r="N50" s="40"/>
      <c r="O50" s="47"/>
      <c r="P50" s="40"/>
      <c r="Q50" s="41"/>
    </row>
    <row r="51" spans="1:17" ht="26.25" customHeight="1">
      <c r="A51" s="51" t="s">
        <v>12</v>
      </c>
      <c r="B51" s="78" t="s">
        <v>43</v>
      </c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9"/>
      <c r="P51" s="79"/>
      <c r="Q51" s="80"/>
    </row>
    <row r="52" spans="1:17" ht="40.5">
      <c r="A52" s="52"/>
      <c r="B52" s="9" t="s">
        <v>21</v>
      </c>
      <c r="C52" s="9" t="s">
        <v>22</v>
      </c>
      <c r="D52" s="9" t="s">
        <v>23</v>
      </c>
      <c r="E52" s="9" t="s">
        <v>57</v>
      </c>
      <c r="F52" s="9" t="s">
        <v>24</v>
      </c>
      <c r="G52" s="9" t="s">
        <v>25</v>
      </c>
      <c r="H52" s="9" t="s">
        <v>26</v>
      </c>
      <c r="I52" s="9" t="s">
        <v>27</v>
      </c>
      <c r="J52" s="9" t="s">
        <v>28</v>
      </c>
      <c r="K52" s="23" t="s">
        <v>38</v>
      </c>
      <c r="L52" s="23" t="s">
        <v>30</v>
      </c>
      <c r="M52" s="24" t="s">
        <v>31</v>
      </c>
      <c r="N52" s="23" t="s">
        <v>32</v>
      </c>
      <c r="O52" s="42" t="s">
        <v>33</v>
      </c>
      <c r="P52" s="24" t="s">
        <v>34</v>
      </c>
      <c r="Q52" s="25" t="s">
        <v>35</v>
      </c>
    </row>
    <row r="53" spans="1:17" ht="36.75" customHeight="1">
      <c r="A53" s="7" t="s">
        <v>36</v>
      </c>
      <c r="B53" s="11">
        <f>IFERROR(SUM(B54,B55,B56,B57,B58,B59,B60,B61,B62,B63),0)</f>
        <v>0</v>
      </c>
      <c r="C53" s="11">
        <f t="shared" ref="C53:J53" si="9">IFERROR(SUM(C54,C55,C56,C57,C58,C59,C60,C61,C62,C63),0)</f>
        <v>0</v>
      </c>
      <c r="D53" s="11">
        <f t="shared" si="9"/>
        <v>0</v>
      </c>
      <c r="E53" s="11">
        <f t="shared" si="9"/>
        <v>0</v>
      </c>
      <c r="F53" s="11">
        <f t="shared" si="9"/>
        <v>0</v>
      </c>
      <c r="G53" s="11">
        <f t="shared" si="9"/>
        <v>0</v>
      </c>
      <c r="H53" s="11">
        <f t="shared" si="9"/>
        <v>0</v>
      </c>
      <c r="I53" s="11">
        <f t="shared" si="9"/>
        <v>0</v>
      </c>
      <c r="J53" s="11">
        <f t="shared" si="9"/>
        <v>0</v>
      </c>
      <c r="K53" s="12">
        <f t="shared" ref="K53" si="10">IFERROR(AVERAGE(K54,K55,K56,K57,K58,K59,K60,K61,K62,K63),0)</f>
        <v>0</v>
      </c>
      <c r="L53" s="12">
        <f t="shared" ref="L53" si="11">IFERROR(AVERAGE(L54,L55,L56,L57,L58,L59,L60,L61,L62,L63),0)</f>
        <v>0</v>
      </c>
      <c r="M53" s="12">
        <f t="shared" ref="M53" si="12">IFERROR(AVERAGE(M54,M55,M56,M57,M58,M59,M60,M61,M62,M63),0)</f>
        <v>0</v>
      </c>
      <c r="N53" s="12">
        <f t="shared" ref="N53" si="13">IFERROR(AVERAGE(N54,N55,N56,N57,N58,N59,N60,N61,N62,N63),0)</f>
        <v>0</v>
      </c>
      <c r="O53" s="28">
        <f t="shared" ref="O53" si="14">IFERROR(AVERAGE(O54,O55,O56,O57,O58,O59,O60,O61,O62,O63),0)</f>
        <v>0</v>
      </c>
      <c r="P53" s="12">
        <f t="shared" ref="P53" si="15">IFERROR(AVERAGE(P54,P55,P56,P57,P58,P59,P60,P61,P62,P63),0)</f>
        <v>0</v>
      </c>
      <c r="Q53" s="29">
        <f>IFERROR(SUM(Q54,Q55,Q56,Q57,Q58,Q59,Q60,Q61,Q62,Q63),0)</f>
        <v>0</v>
      </c>
    </row>
    <row r="54" spans="1:17" ht="36.75" customHeight="1">
      <c r="A54" s="7"/>
      <c r="B54" s="13"/>
      <c r="C54" s="13"/>
      <c r="D54" s="13"/>
      <c r="E54" s="13"/>
      <c r="F54" s="13"/>
      <c r="G54" s="13"/>
      <c r="H54" s="13"/>
      <c r="I54" s="13"/>
      <c r="J54" s="13"/>
      <c r="K54" s="14"/>
      <c r="L54" s="14"/>
      <c r="M54" s="14"/>
      <c r="N54" s="14"/>
      <c r="O54" s="26"/>
      <c r="P54" s="43"/>
      <c r="Q54" s="17"/>
    </row>
    <row r="55" spans="1:17" ht="36.75" customHeight="1">
      <c r="A55" s="7"/>
      <c r="B55" s="13"/>
      <c r="C55" s="13"/>
      <c r="D55" s="13"/>
      <c r="E55" s="13"/>
      <c r="F55" s="13"/>
      <c r="G55" s="13"/>
      <c r="H55" s="13"/>
      <c r="I55" s="13"/>
      <c r="J55" s="13"/>
      <c r="K55" s="14"/>
      <c r="L55" s="14"/>
      <c r="M55" s="14"/>
      <c r="N55" s="14"/>
      <c r="O55" s="26"/>
      <c r="P55" s="43"/>
      <c r="Q55" s="17"/>
    </row>
    <row r="56" spans="1:17" ht="36.75" customHeight="1">
      <c r="A56" s="7"/>
      <c r="B56" s="13"/>
      <c r="C56" s="13"/>
      <c r="D56" s="13"/>
      <c r="E56" s="13"/>
      <c r="F56" s="13"/>
      <c r="G56" s="13"/>
      <c r="H56" s="13"/>
      <c r="I56" s="13"/>
      <c r="J56" s="13"/>
      <c r="K56" s="14"/>
      <c r="L56" s="14"/>
      <c r="M56" s="14"/>
      <c r="N56" s="14"/>
      <c r="O56" s="26"/>
      <c r="P56" s="43"/>
      <c r="Q56" s="17"/>
    </row>
    <row r="57" spans="1:17" ht="36.75" customHeight="1">
      <c r="A57" s="7"/>
      <c r="B57" s="13"/>
      <c r="C57" s="13"/>
      <c r="D57" s="13"/>
      <c r="E57" s="13"/>
      <c r="F57" s="13"/>
      <c r="G57" s="13"/>
      <c r="H57" s="13"/>
      <c r="I57" s="13"/>
      <c r="J57" s="13"/>
      <c r="K57" s="14"/>
      <c r="L57" s="14"/>
      <c r="M57" s="14"/>
      <c r="N57" s="14"/>
      <c r="O57" s="26"/>
      <c r="P57" s="43"/>
      <c r="Q57" s="17"/>
    </row>
    <row r="58" spans="1:17" ht="36.75" customHeight="1">
      <c r="A58" s="7"/>
      <c r="B58" s="13"/>
      <c r="C58" s="13"/>
      <c r="D58" s="13"/>
      <c r="E58" s="13"/>
      <c r="F58" s="13"/>
      <c r="G58" s="13"/>
      <c r="H58" s="13"/>
      <c r="I58" s="13"/>
      <c r="J58" s="13"/>
      <c r="K58" s="14"/>
      <c r="L58" s="14"/>
      <c r="M58" s="14"/>
      <c r="N58" s="14"/>
      <c r="O58" s="26"/>
      <c r="P58" s="43"/>
      <c r="Q58" s="17"/>
    </row>
    <row r="59" spans="1:17" ht="36.75" customHeight="1">
      <c r="A59" s="7"/>
      <c r="B59" s="13"/>
      <c r="C59" s="13"/>
      <c r="D59" s="13"/>
      <c r="E59" s="13"/>
      <c r="F59" s="13"/>
      <c r="G59" s="13"/>
      <c r="H59" s="13"/>
      <c r="I59" s="13"/>
      <c r="J59" s="13"/>
      <c r="K59" s="14"/>
      <c r="L59" s="14"/>
      <c r="M59" s="14"/>
      <c r="N59" s="14"/>
      <c r="O59" s="26"/>
      <c r="P59" s="43"/>
      <c r="Q59" s="17"/>
    </row>
    <row r="60" spans="1:17" ht="36.75" customHeight="1">
      <c r="A60" s="7"/>
      <c r="B60" s="13"/>
      <c r="C60" s="13"/>
      <c r="D60" s="13"/>
      <c r="E60" s="13"/>
      <c r="F60" s="13"/>
      <c r="G60" s="13"/>
      <c r="H60" s="13"/>
      <c r="I60" s="13"/>
      <c r="J60" s="13"/>
      <c r="K60" s="14"/>
      <c r="L60" s="14"/>
      <c r="M60" s="14"/>
      <c r="N60" s="14"/>
      <c r="O60" s="26"/>
      <c r="P60" s="43"/>
      <c r="Q60" s="17"/>
    </row>
    <row r="61" spans="1:17" ht="36.75" customHeight="1">
      <c r="A61" s="7"/>
      <c r="B61" s="13"/>
      <c r="C61" s="13"/>
      <c r="D61" s="13"/>
      <c r="E61" s="13"/>
      <c r="F61" s="13"/>
      <c r="G61" s="13"/>
      <c r="H61" s="13"/>
      <c r="I61" s="13"/>
      <c r="J61" s="13"/>
      <c r="K61" s="14"/>
      <c r="L61" s="14"/>
      <c r="M61" s="14"/>
      <c r="N61" s="14"/>
      <c r="O61" s="26"/>
      <c r="P61" s="43"/>
      <c r="Q61" s="17"/>
    </row>
    <row r="62" spans="1:17" ht="36.75" customHeight="1">
      <c r="A62" s="7"/>
      <c r="B62" s="13"/>
      <c r="C62" s="13"/>
      <c r="D62" s="13"/>
      <c r="E62" s="13"/>
      <c r="F62" s="13"/>
      <c r="G62" s="13"/>
      <c r="H62" s="13"/>
      <c r="I62" s="13"/>
      <c r="J62" s="13"/>
      <c r="K62" s="14"/>
      <c r="L62" s="14"/>
      <c r="M62" s="14"/>
      <c r="N62" s="14"/>
      <c r="O62" s="26"/>
      <c r="P62" s="43"/>
      <c r="Q62" s="17"/>
    </row>
    <row r="63" spans="1:17" ht="36.75" customHeight="1" thickBot="1">
      <c r="A63" s="45"/>
      <c r="B63" s="46"/>
      <c r="C63" s="46"/>
      <c r="D63" s="46"/>
      <c r="E63" s="46"/>
      <c r="F63" s="46"/>
      <c r="G63" s="46"/>
      <c r="H63" s="46"/>
      <c r="I63" s="46"/>
      <c r="J63" s="46"/>
      <c r="K63" s="40"/>
      <c r="L63" s="40"/>
      <c r="M63" s="40"/>
      <c r="N63" s="40"/>
      <c r="O63" s="47"/>
      <c r="P63" s="44"/>
      <c r="Q63" s="27"/>
    </row>
    <row r="64" spans="1:17" ht="32.25" customHeight="1" thickBot="1">
      <c r="A64" s="53" t="s">
        <v>39</v>
      </c>
      <c r="B64" s="54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Q64" s="38"/>
    </row>
    <row r="65" spans="1:17" ht="30" customHeight="1">
      <c r="A65" s="56"/>
      <c r="B65" s="57"/>
      <c r="C65" s="60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2"/>
    </row>
    <row r="66" spans="1:17" ht="30" customHeight="1" thickBot="1">
      <c r="A66" s="58"/>
      <c r="B66" s="59"/>
      <c r="C66" s="63"/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5"/>
    </row>
  </sheetData>
  <mergeCells count="135">
    <mergeCell ref="A1:M2"/>
    <mergeCell ref="N1:N3"/>
    <mergeCell ref="O2:O3"/>
    <mergeCell ref="A3:M3"/>
    <mergeCell ref="A4:O4"/>
    <mergeCell ref="A5:F7"/>
    <mergeCell ref="G5:J7"/>
    <mergeCell ref="K5:K7"/>
    <mergeCell ref="L5:N7"/>
    <mergeCell ref="O5:Q7"/>
    <mergeCell ref="L8:N9"/>
    <mergeCell ref="O8:Q9"/>
    <mergeCell ref="A9:B9"/>
    <mergeCell ref="C9:D9"/>
    <mergeCell ref="E9:F9"/>
    <mergeCell ref="G9:H9"/>
    <mergeCell ref="I9:J9"/>
    <mergeCell ref="A8:B8"/>
    <mergeCell ref="C8:D8"/>
    <mergeCell ref="E8:F8"/>
    <mergeCell ref="G8:H8"/>
    <mergeCell ref="I8:J8"/>
    <mergeCell ref="K8:K9"/>
    <mergeCell ref="A10:Q10"/>
    <mergeCell ref="L12:M12"/>
    <mergeCell ref="N12:O12"/>
    <mergeCell ref="P12:Q12"/>
    <mergeCell ref="B13:C13"/>
    <mergeCell ref="D13:E13"/>
    <mergeCell ref="F13:G13"/>
    <mergeCell ref="H13:I13"/>
    <mergeCell ref="J13:K13"/>
    <mergeCell ref="L13:M13"/>
    <mergeCell ref="N13:O13"/>
    <mergeCell ref="P13:Q13"/>
    <mergeCell ref="B11:E11"/>
    <mergeCell ref="F11:I11"/>
    <mergeCell ref="J11:M11"/>
    <mergeCell ref="N11:Q11"/>
    <mergeCell ref="B12:C12"/>
    <mergeCell ref="D12:E12"/>
    <mergeCell ref="F12:G12"/>
    <mergeCell ref="H12:I12"/>
    <mergeCell ref="J12:K12"/>
    <mergeCell ref="B14:C14"/>
    <mergeCell ref="D14:E14"/>
    <mergeCell ref="F14:G14"/>
    <mergeCell ref="H14:I14"/>
    <mergeCell ref="J14:K14"/>
    <mergeCell ref="L14:M14"/>
    <mergeCell ref="N14:O14"/>
    <mergeCell ref="P14:Q14"/>
    <mergeCell ref="N15:O15"/>
    <mergeCell ref="P15:Q15"/>
    <mergeCell ref="B16:C16"/>
    <mergeCell ref="D16:E16"/>
    <mergeCell ref="F16:G16"/>
    <mergeCell ref="H16:I16"/>
    <mergeCell ref="J16:K16"/>
    <mergeCell ref="L16:M16"/>
    <mergeCell ref="N16:O16"/>
    <mergeCell ref="P16:Q16"/>
    <mergeCell ref="B15:C15"/>
    <mergeCell ref="D15:E15"/>
    <mergeCell ref="F15:G15"/>
    <mergeCell ref="H15:I15"/>
    <mergeCell ref="J15:K15"/>
    <mergeCell ref="L15:M15"/>
    <mergeCell ref="N17:O17"/>
    <mergeCell ref="P17:Q17"/>
    <mergeCell ref="B18:C18"/>
    <mergeCell ref="D18:E18"/>
    <mergeCell ref="F18:G18"/>
    <mergeCell ref="H18:I18"/>
    <mergeCell ref="J18:K18"/>
    <mergeCell ref="L18:M18"/>
    <mergeCell ref="N18:O18"/>
    <mergeCell ref="P18:Q18"/>
    <mergeCell ref="B17:C17"/>
    <mergeCell ref="D17:E17"/>
    <mergeCell ref="F17:G17"/>
    <mergeCell ref="H17:I17"/>
    <mergeCell ref="J17:K17"/>
    <mergeCell ref="L17:M17"/>
    <mergeCell ref="N19:O19"/>
    <mergeCell ref="P19:Q19"/>
    <mergeCell ref="B21:C21"/>
    <mergeCell ref="D21:E21"/>
    <mergeCell ref="F21:G21"/>
    <mergeCell ref="H21:I21"/>
    <mergeCell ref="J21:K21"/>
    <mergeCell ref="L21:M21"/>
    <mergeCell ref="N21:O21"/>
    <mergeCell ref="P21:Q21"/>
    <mergeCell ref="B19:C19"/>
    <mergeCell ref="D19:E19"/>
    <mergeCell ref="F19:G19"/>
    <mergeCell ref="H19:I19"/>
    <mergeCell ref="J19:K19"/>
    <mergeCell ref="L19:M19"/>
    <mergeCell ref="D20:E20"/>
    <mergeCell ref="F20:G20"/>
    <mergeCell ref="H20:I20"/>
    <mergeCell ref="J20:K20"/>
    <mergeCell ref="L20:M20"/>
    <mergeCell ref="N20:O20"/>
    <mergeCell ref="P20:Q20"/>
    <mergeCell ref="B20:C20"/>
    <mergeCell ref="A64:O64"/>
    <mergeCell ref="A65:B66"/>
    <mergeCell ref="C65:Q66"/>
    <mergeCell ref="N23:O23"/>
    <mergeCell ref="P23:Q23"/>
    <mergeCell ref="A24:Q24"/>
    <mergeCell ref="A25:A26"/>
    <mergeCell ref="B25:Q25"/>
    <mergeCell ref="A38:A39"/>
    <mergeCell ref="B38:Q38"/>
    <mergeCell ref="B23:C23"/>
    <mergeCell ref="D23:E23"/>
    <mergeCell ref="F23:G23"/>
    <mergeCell ref="H23:I23"/>
    <mergeCell ref="J23:K23"/>
    <mergeCell ref="L23:M23"/>
    <mergeCell ref="B51:Q51"/>
    <mergeCell ref="N26:O37"/>
    <mergeCell ref="B22:C22"/>
    <mergeCell ref="D22:E22"/>
    <mergeCell ref="F22:G22"/>
    <mergeCell ref="H22:I22"/>
    <mergeCell ref="J22:K22"/>
    <mergeCell ref="L22:M22"/>
    <mergeCell ref="N22:O22"/>
    <mergeCell ref="P22:Q22"/>
    <mergeCell ref="A51:A52"/>
  </mergeCells>
  <phoneticPr fontId="4" type="noConversion"/>
  <pageMargins left="0" right="0" top="0.39370078740157483" bottom="0" header="0" footer="0"/>
  <pageSetup paperSize="9" scale="34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상도 남</dc:creator>
  <cp:lastModifiedBy>상도 남</cp:lastModifiedBy>
  <cp:lastPrinted>2025-03-24T06:10:22Z</cp:lastPrinted>
  <dcterms:created xsi:type="dcterms:W3CDTF">2025-03-14T03:58:29Z</dcterms:created>
  <dcterms:modified xsi:type="dcterms:W3CDTF">2025-07-15T02:00:04Z</dcterms:modified>
</cp:coreProperties>
</file>